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GitProjects\elem_altium_db2\library\"/>
    </mc:Choice>
  </mc:AlternateContent>
  <xr:revisionPtr revIDLastSave="0" documentId="13_ncr:1_{DC4F7B6D-02C6-4A3B-84F5-8A0274F0988B}" xr6:coauthVersionLast="47" xr6:coauthVersionMax="47" xr10:uidLastSave="{00000000-0000-0000-0000-000000000000}"/>
  <bookViews>
    <workbookView xWindow="-28920" yWindow="-120" windowWidth="29040" windowHeight="15840" xr2:uid="{EE2E7F00-6B54-4C0B-98D7-835E87062BAF}"/>
  </bookViews>
  <sheets>
    <sheet name="nmos" sheetId="8" r:id="rId1"/>
    <sheet name="pmos" sheetId="7" r:id="rId2"/>
    <sheet name="npn" sheetId="6" r:id="rId3"/>
    <sheet name="pnp" sheetId="5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23" i="8" l="1"/>
  <c r="C5" i="6"/>
  <c r="C2" i="7"/>
  <c r="C3" i="7"/>
  <c r="C4" i="7"/>
  <c r="C5" i="7"/>
  <c r="C6" i="7"/>
  <c r="C7" i="7"/>
  <c r="C8" i="7"/>
  <c r="C9" i="7"/>
  <c r="C10" i="7"/>
  <c r="C11" i="7"/>
  <c r="C12" i="7"/>
  <c r="C13" i="7"/>
  <c r="C2" i="8"/>
  <c r="C3" i="8"/>
  <c r="C4" i="8"/>
  <c r="C5" i="8"/>
  <c r="C6" i="8"/>
  <c r="C7" i="8"/>
  <c r="C8" i="8"/>
  <c r="C9" i="8"/>
  <c r="C10" i="8"/>
  <c r="C11" i="8"/>
  <c r="C12" i="8"/>
  <c r="C13" i="8"/>
  <c r="C14" i="8"/>
  <c r="C15" i="8"/>
  <c r="C16" i="8"/>
  <c r="C17" i="8"/>
  <c r="C18" i="8"/>
  <c r="C19" i="8"/>
  <c r="C20" i="8"/>
  <c r="C21" i="8"/>
  <c r="C22" i="8"/>
</calcChain>
</file>

<file path=xl/sharedStrings.xml><?xml version="1.0" encoding="utf-8"?>
<sst xmlns="http://schemas.openxmlformats.org/spreadsheetml/2006/main" count="283" uniqueCount="105">
  <si>
    <t>Part Number</t>
  </si>
  <si>
    <t>Size</t>
  </si>
  <si>
    <t>Part Number Ru</t>
  </si>
  <si>
    <t>Part Number En</t>
  </si>
  <si>
    <t>Library Ref</t>
  </si>
  <si>
    <t>Footprint Ref</t>
  </si>
  <si>
    <t>Manufacturer</t>
  </si>
  <si>
    <t>TU</t>
  </si>
  <si>
    <t>FDC655BN</t>
  </si>
  <si>
    <t>SuperSOT6</t>
  </si>
  <si>
    <t>Fairchild semiconductor</t>
  </si>
  <si>
    <t>IRF9910PBF</t>
  </si>
  <si>
    <t>SO-8</t>
  </si>
  <si>
    <t>8-SOIC</t>
  </si>
  <si>
    <t>Infineon</t>
  </si>
  <si>
    <t>BSS138W-7-F</t>
  </si>
  <si>
    <t>SOT-323</t>
  </si>
  <si>
    <t>N-Channel 1G3D2S</t>
  </si>
  <si>
    <t>SOT323</t>
  </si>
  <si>
    <t>Diodes Incorporated</t>
  </si>
  <si>
    <t>SI2302CDS-T1-GE3</t>
  </si>
  <si>
    <t>SOT23</t>
  </si>
  <si>
    <t>Vishay</t>
  </si>
  <si>
    <t>2П769Д91</t>
  </si>
  <si>
    <t>КТ-90</t>
  </si>
  <si>
    <t>N-Channel 1G2D3S</t>
  </si>
  <si>
    <t>TO-263-2</t>
  </si>
  <si>
    <t>АЕЯР.432140.220ТУ</t>
  </si>
  <si>
    <t>2П769В91</t>
  </si>
  <si>
    <t>IRLML2502</t>
  </si>
  <si>
    <t>UMW</t>
  </si>
  <si>
    <t>NCE4060K</t>
  </si>
  <si>
    <t>TO-252-2</t>
  </si>
  <si>
    <t>NCE Power</t>
  </si>
  <si>
    <t>IRFR1205TR</t>
  </si>
  <si>
    <t>STP24NF10</t>
  </si>
  <si>
    <t>TO-220</t>
  </si>
  <si>
    <t>STMicroelectronics</t>
  </si>
  <si>
    <t>FDC654P</t>
  </si>
  <si>
    <t>BSS84W-7-F</t>
  </si>
  <si>
    <t>P-Channel 1G3D2S</t>
  </si>
  <si>
    <t>SI2301CDS-T1-GE3</t>
  </si>
  <si>
    <t>IRLML6402</t>
  </si>
  <si>
    <t>NCE40P40K</t>
  </si>
  <si>
    <t>P-Channel 1G2D3S</t>
  </si>
  <si>
    <t>FDD6685</t>
  </si>
  <si>
    <t>AOD403</t>
  </si>
  <si>
    <t>BC847</t>
  </si>
  <si>
    <t>BC847,215 SOT23</t>
  </si>
  <si>
    <t>BC847,215</t>
  </si>
  <si>
    <t>NPN 1B3C2E</t>
  </si>
  <si>
    <t>Nexperia</t>
  </si>
  <si>
    <t>MMBTA92</t>
  </si>
  <si>
    <t>MMBTA92 SOT23</t>
  </si>
  <si>
    <t>PNP 1B3C2E</t>
  </si>
  <si>
    <t>AO3400</t>
  </si>
  <si>
    <t>Hottech Semiconductor</t>
  </si>
  <si>
    <t>AO3401A</t>
  </si>
  <si>
    <t>2П795А92</t>
  </si>
  <si>
    <t>КТ-94</t>
  </si>
  <si>
    <t xml:space="preserve">
АЕЯР.432140.273ТУ</t>
  </si>
  <si>
    <t>2П7241ВС9</t>
  </si>
  <si>
    <t>2П7240ВС9</t>
  </si>
  <si>
    <t>4320.8-А</t>
  </si>
  <si>
    <t>АЕЯР.432140.605ТУ</t>
  </si>
  <si>
    <t>2П767А9</t>
  </si>
  <si>
    <t>КТ-89</t>
  </si>
  <si>
    <t>NPN 1B2C3E IGBT</t>
  </si>
  <si>
    <t>2Е725Б</t>
  </si>
  <si>
    <t>КТ-43А-1.01</t>
  </si>
  <si>
    <t>АЕЯР.432140.492ТУ</t>
  </si>
  <si>
    <t>BC857B</t>
  </si>
  <si>
    <t>BC857B SOT23</t>
  </si>
  <si>
    <t>FCA47N60</t>
  </si>
  <si>
    <t>TO-3PN</t>
  </si>
  <si>
    <t>Footprint Ref 2</t>
  </si>
  <si>
    <t>Si4840BDY</t>
  </si>
  <si>
    <t>TO-3PN_Horizontal</t>
  </si>
  <si>
    <t>SOIC-8</t>
  </si>
  <si>
    <t>2Е725Б КТ-43А-1.01</t>
  </si>
  <si>
    <t>IRFP450</t>
  </si>
  <si>
    <t>TO-3PN_Vertical</t>
  </si>
  <si>
    <t>TO-247</t>
  </si>
  <si>
    <r>
      <t>FGH40N60</t>
    </r>
    <r>
      <rPr>
        <sz val="11"/>
        <color rgb="FF000000"/>
        <rFont val="Calibri"/>
        <family val="2"/>
        <charset val="204"/>
        <scheme val="minor"/>
      </rPr>
      <t>SFD</t>
    </r>
  </si>
  <si>
    <r>
      <t>FGH40N60</t>
    </r>
    <r>
      <rPr>
        <sz val="11"/>
        <color rgb="FF000000"/>
        <rFont val="Calibri"/>
        <family val="2"/>
        <charset val="204"/>
        <scheme val="minor"/>
      </rPr>
      <t>SFD TO-247</t>
    </r>
  </si>
  <si>
    <t>Dual n-mos 8-soic</t>
  </si>
  <si>
    <t>IRF7380</t>
  </si>
  <si>
    <t>INFIN</t>
  </si>
  <si>
    <t>WMT04N10TS</t>
  </si>
  <si>
    <t>SOT223</t>
  </si>
  <si>
    <t>WAYON</t>
  </si>
  <si>
    <t>P-Channel 1G24D3S</t>
  </si>
  <si>
    <t>IRF7380TRPBF</t>
  </si>
  <si>
    <t>IRFR120NTRPBF</t>
  </si>
  <si>
    <t>HOTTECH5N10</t>
  </si>
  <si>
    <t>5N10</t>
  </si>
  <si>
    <t>IRFR9120</t>
  </si>
  <si>
    <t>IRFR220</t>
  </si>
  <si>
    <t>IRFR220PbF</t>
  </si>
  <si>
    <t>NDS9948</t>
  </si>
  <si>
    <t>ON Semiconductor</t>
  </si>
  <si>
    <t>FGH60N60SMD</t>
  </si>
  <si>
    <t>Infineon Technologies</t>
  </si>
  <si>
    <t>IRLML2060TRPBF</t>
  </si>
  <si>
    <t>IRLML2060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</si>
</sst>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1"/>
      <color theme="1"/>
      <name val="Calibri"/>
      <family val="2"/>
      <charset val="204"/>
      <scheme val="minor"/>
    </font>
    <font>
      <b/>
      <sz val="10"/>
      <color indexed="8"/>
      <name val="Arial"/>
      <family val="2"/>
    </font>
    <font>
      <sz val="10"/>
      <color indexed="8"/>
      <name val="Arial"/>
      <family val="2"/>
    </font>
    <font>
      <sz val="10"/>
      <name val="Arial"/>
      <family val="2"/>
    </font>
    <font>
      <sz val="10"/>
      <color indexed="9"/>
      <name val="Arial"/>
      <family val="2"/>
    </font>
    <font>
      <sz val="10"/>
      <color indexed="10"/>
      <name val="Arial"/>
      <family val="2"/>
    </font>
    <font>
      <b/>
      <sz val="10"/>
      <color indexed="9"/>
      <name val="Arial"/>
      <family val="2"/>
    </font>
    <font>
      <i/>
      <sz val="10"/>
      <color indexed="23"/>
      <name val="Arial"/>
      <family val="2"/>
    </font>
    <font>
      <sz val="10"/>
      <color indexed="17"/>
      <name val="Arial"/>
      <family val="2"/>
    </font>
    <font>
      <sz val="18"/>
      <color indexed="8"/>
      <name val="Arial"/>
      <family val="2"/>
    </font>
    <font>
      <sz val="12"/>
      <color indexed="8"/>
      <name val="Arial"/>
      <family val="2"/>
    </font>
    <font>
      <b/>
      <sz val="24"/>
      <color indexed="8"/>
      <name val="Arial"/>
      <family val="2"/>
    </font>
    <font>
      <u/>
      <sz val="10"/>
      <color indexed="12"/>
      <name val="Arial"/>
      <family val="2"/>
    </font>
    <font>
      <sz val="10"/>
      <color indexed="19"/>
      <name val="Arial"/>
      <family val="2"/>
    </font>
    <font>
      <sz val="10"/>
      <color indexed="63"/>
      <name val="Arial"/>
      <family val="2"/>
    </font>
    <font>
      <u/>
      <sz val="10"/>
      <color indexed="39"/>
      <name val="Arial"/>
      <family val="2"/>
    </font>
    <font>
      <sz val="11"/>
      <color rgb="FF000000"/>
      <name val="Calibri"/>
      <family val="2"/>
      <charset val="204"/>
      <scheme val="minor"/>
    </font>
  </fonts>
  <fills count="9">
    <fill>
      <patternFill patternType="none"/>
    </fill>
    <fill>
      <patternFill patternType="gray125"/>
    </fill>
    <fill>
      <patternFill patternType="solid">
        <fgColor indexed="31"/>
        <bgColor indexed="47"/>
      </patternFill>
    </fill>
    <fill>
      <patternFill patternType="solid">
        <fgColor indexed="8"/>
        <bgColor indexed="58"/>
      </patternFill>
    </fill>
    <fill>
      <patternFill patternType="solid">
        <fgColor indexed="23"/>
        <bgColor indexed="55"/>
      </patternFill>
    </fill>
    <fill>
      <patternFill patternType="solid">
        <fgColor indexed="47"/>
        <bgColor indexed="31"/>
      </patternFill>
    </fill>
    <fill>
      <patternFill patternType="solid">
        <fgColor indexed="10"/>
        <bgColor indexed="16"/>
      </patternFill>
    </fill>
    <fill>
      <patternFill patternType="solid">
        <fgColor indexed="42"/>
        <bgColor indexed="27"/>
      </patternFill>
    </fill>
    <fill>
      <patternFill patternType="solid">
        <fgColor indexed="26"/>
        <bgColor indexed="9"/>
      </patternFill>
    </fill>
  </fills>
  <borders count="2">
    <border>
      <left/>
      <right/>
      <top/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</borders>
  <cellStyleXfs count="21">
    <xf numFmtId="0" fontId="0" fillId="0" borderId="0"/>
    <xf numFmtId="0" fontId="1" fillId="2" borderId="0" applyNumberFormat="0" applyBorder="0" applyAlignment="0" applyProtection="0"/>
    <xf numFmtId="0" fontId="3" fillId="0" borderId="0"/>
    <xf numFmtId="0" fontId="4" fillId="3" borderId="0" applyNumberFormat="0" applyBorder="0" applyAlignment="0" applyProtection="0"/>
    <xf numFmtId="0" fontId="4" fillId="4" borderId="0" applyNumberFormat="0" applyBorder="0" applyAlignment="0" applyProtection="0"/>
    <xf numFmtId="0" fontId="1" fillId="2" borderId="0" applyNumberFormat="0" applyBorder="0" applyAlignment="0" applyProtection="0"/>
    <xf numFmtId="0" fontId="1" fillId="0" borderId="0" applyNumberFormat="0" applyFill="0" applyBorder="0" applyAlignment="0" applyProtection="0"/>
    <xf numFmtId="0" fontId="5" fillId="5" borderId="0" applyNumberFormat="0" applyBorder="0" applyAlignment="0" applyProtection="0"/>
    <xf numFmtId="0" fontId="6" fillId="6" borderId="0" applyNumberFormat="0" applyBorder="0" applyAlignment="0" applyProtection="0"/>
    <xf numFmtId="0" fontId="7" fillId="0" borderId="0" applyNumberFormat="0" applyFill="0" applyBorder="0" applyAlignment="0" applyProtection="0"/>
    <xf numFmtId="0" fontId="8" fillId="7" borderId="0" applyNumberFormat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13" fillId="8" borderId="0" applyNumberFormat="0" applyBorder="0" applyAlignment="0" applyProtection="0"/>
    <xf numFmtId="0" fontId="14" fillId="8" borderId="1" applyNumberFormat="0" applyAlignment="0" applyProtection="0"/>
    <xf numFmtId="0" fontId="3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15" fillId="0" borderId="0" applyNumberFormat="0" applyFill="0" applyBorder="0" applyAlignment="0" applyProtection="0"/>
  </cellStyleXfs>
  <cellXfs count="5">
    <xf numFmtId="0" fontId="0" fillId="0" borderId="0" xfId="0"/>
    <xf numFmtId="49" fontId="1" fillId="2" borderId="0" xfId="1" applyNumberFormat="1" applyBorder="1" applyAlignment="1" applyProtection="1"/>
    <xf numFmtId="0" fontId="0" fillId="0" borderId="0" xfId="0" applyAlignment="1">
      <alignment vertical="center"/>
    </xf>
    <xf numFmtId="0" fontId="2" fillId="0" borderId="0" xfId="0" applyFont="1" applyAlignment="1">
      <alignment vertical="center"/>
    </xf>
    <xf numFmtId="49" fontId="0" fillId="0" borderId="0" xfId="0" applyNumberFormat="1" applyAlignment="1">
      <alignment vertical="center"/>
    </xf>
  </cellXfs>
  <cellStyles count="21">
    <cellStyle name="Accent 1 1" xfId="3" xr:uid="{59C07D72-8E19-46CF-887A-3117F6F3785F}"/>
    <cellStyle name="Accent 2 1" xfId="4" xr:uid="{6BABBE6D-B89F-40A5-B377-65A1ECF4F8D6}"/>
    <cellStyle name="Accent 3 1" xfId="5" xr:uid="{4C06F33B-F628-495C-9BA2-60FAC1B8690A}"/>
    <cellStyle name="Accent 3 2" xfId="1" xr:uid="{07D6D35A-A25D-4183-ACA2-756DA14CBAEA}"/>
    <cellStyle name="Accent 4" xfId="6" xr:uid="{F3DEEF29-1452-4A54-9ADF-78B71BD08875}"/>
    <cellStyle name="Bad 1" xfId="7" xr:uid="{CC1B0164-01DD-4936-88FA-67E0C48A1033}"/>
    <cellStyle name="Error 1" xfId="8" xr:uid="{E9F5B4CD-C48A-49C4-96F8-CFED4870C064}"/>
    <cellStyle name="Footnote 1" xfId="9" xr:uid="{DEAE826C-044D-400A-B3D4-F5B4FBB15892}"/>
    <cellStyle name="Good 1" xfId="10" xr:uid="{C4279DCC-ED95-4CCE-BF40-C144EB3BA948}"/>
    <cellStyle name="Heading 1 1" xfId="11" xr:uid="{B33368BD-0810-4E46-91EF-D8BC2819D960}"/>
    <cellStyle name="Heading 2 1" xfId="12" xr:uid="{21DAEB1B-1F08-4830-A40A-1F71E91C3E60}"/>
    <cellStyle name="Heading 3" xfId="13" xr:uid="{F157240C-759E-4A5C-8D08-E9CAF49B5C76}"/>
    <cellStyle name="Hyperlink 1" xfId="14" xr:uid="{6BC4E17A-55E5-4F0C-9E06-277A2377AD4A}"/>
    <cellStyle name="Hyperlink 1 2" xfId="20" xr:uid="{9F7FC590-0C5A-4C65-9443-5C7DA8D68A36}"/>
    <cellStyle name="Neutral 1" xfId="15" xr:uid="{6D465AE4-31A5-4B95-9B0E-6E92DD5DBADB}"/>
    <cellStyle name="Note 1" xfId="16" xr:uid="{5BBDAFE8-0230-4498-8FC2-892A6CA6FCD8}"/>
    <cellStyle name="Status 1" xfId="17" xr:uid="{B5CEB193-82F1-4869-9033-6CA5CF994AD1}"/>
    <cellStyle name="Text 1" xfId="18" xr:uid="{82FD0F21-4428-49B3-91A7-88A1E12D7A17}"/>
    <cellStyle name="Warning 1" xfId="19" xr:uid="{C0F92B33-BA6B-43EB-9AF1-3DB4037EF412}"/>
    <cellStyle name="Обычный" xfId="0" builtinId="0"/>
    <cellStyle name="Обычный 2" xfId="2" xr:uid="{5A4A247A-9E13-45F7-8C42-156984DFCA88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86DCBB-C7F7-4A7A-A3DD-2292F908D4B3}">
  <dimension ref="A1:K31"/>
  <sheetViews>
    <sheetView tabSelected="1" zoomScaleNormal="100" workbookViewId="0">
      <selection activeCell="F23" sqref="F23"/>
    </sheetView>
  </sheetViews>
  <sheetFormatPr defaultColWidth="8.85546875" defaultRowHeight="15" x14ac:dyDescent="0.25"/>
  <cols>
    <col min="1" max="2" width="20.85546875" customWidth="1"/>
    <col min="3" max="3" width="25.85546875" customWidth="1"/>
    <col min="4" max="9" width="20.85546875" customWidth="1"/>
  </cols>
  <sheetData>
    <row r="1" spans="1:1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75</v>
      </c>
      <c r="H1" s="1" t="s">
        <v>6</v>
      </c>
      <c r="I1" s="1" t="s">
        <v>7</v>
      </c>
    </row>
    <row r="2" spans="1:11" x14ac:dyDescent="0.25">
      <c r="A2" s="2" t="s">
        <v>8</v>
      </c>
      <c r="B2" s="2" t="s">
        <v>9</v>
      </c>
      <c r="C2" s="2" t="str">
        <f t="shared" ref="C2:C21" si="0">_xlfn.CONCAT(D2, " ", B2)</f>
        <v>FDC655BN SuperSOT6</v>
      </c>
      <c r="D2" s="2" t="s">
        <v>8</v>
      </c>
      <c r="E2" s="2" t="s">
        <v>8</v>
      </c>
      <c r="F2" s="2" t="s">
        <v>9</v>
      </c>
      <c r="G2" s="2"/>
      <c r="H2" s="2" t="s">
        <v>10</v>
      </c>
      <c r="I2" s="2"/>
      <c r="J2" s="2"/>
      <c r="K2" s="2"/>
    </row>
    <row r="3" spans="1:11" x14ac:dyDescent="0.25">
      <c r="A3" s="2" t="s">
        <v>11</v>
      </c>
      <c r="B3" s="2" t="s">
        <v>12</v>
      </c>
      <c r="C3" s="2" t="str">
        <f t="shared" si="0"/>
        <v>IRF9910PBF SO-8</v>
      </c>
      <c r="D3" s="2" t="s">
        <v>11</v>
      </c>
      <c r="E3" s="2" t="s">
        <v>11</v>
      </c>
      <c r="F3" s="2" t="s">
        <v>13</v>
      </c>
      <c r="G3" s="2"/>
      <c r="H3" s="2" t="s">
        <v>14</v>
      </c>
      <c r="I3" s="2"/>
      <c r="J3" s="2"/>
      <c r="K3" s="2"/>
    </row>
    <row r="4" spans="1:11" x14ac:dyDescent="0.25">
      <c r="A4" s="2" t="s">
        <v>15</v>
      </c>
      <c r="B4" s="2" t="s">
        <v>16</v>
      </c>
      <c r="C4" s="2" t="str">
        <f t="shared" si="0"/>
        <v>BSS138W-7-F SOT-323</v>
      </c>
      <c r="D4" s="2" t="s">
        <v>15</v>
      </c>
      <c r="E4" s="2" t="s">
        <v>17</v>
      </c>
      <c r="F4" s="2" t="s">
        <v>18</v>
      </c>
      <c r="G4" s="2"/>
      <c r="H4" s="2" t="s">
        <v>19</v>
      </c>
      <c r="I4" s="2"/>
      <c r="J4" s="2"/>
      <c r="K4" s="2"/>
    </row>
    <row r="5" spans="1:11" x14ac:dyDescent="0.25">
      <c r="A5" s="2" t="s">
        <v>20</v>
      </c>
      <c r="B5" s="2" t="s">
        <v>21</v>
      </c>
      <c r="C5" s="2" t="str">
        <f t="shared" si="0"/>
        <v>SI2302CDS-T1-GE3 SOT23</v>
      </c>
      <c r="D5" s="2" t="s">
        <v>20</v>
      </c>
      <c r="E5" s="2" t="s">
        <v>17</v>
      </c>
      <c r="F5" s="2" t="s">
        <v>21</v>
      </c>
      <c r="G5" s="2"/>
      <c r="H5" s="2" t="s">
        <v>22</v>
      </c>
      <c r="I5" s="2"/>
      <c r="J5" s="2"/>
      <c r="K5" s="2"/>
    </row>
    <row r="6" spans="1:11" x14ac:dyDescent="0.25">
      <c r="A6" s="2" t="s">
        <v>23</v>
      </c>
      <c r="B6" s="2" t="s">
        <v>24</v>
      </c>
      <c r="C6" s="2" t="str">
        <f t="shared" si="0"/>
        <v>2П769Д91 КТ-90</v>
      </c>
      <c r="D6" s="2" t="s">
        <v>23</v>
      </c>
      <c r="E6" s="2" t="s">
        <v>25</v>
      </c>
      <c r="F6" s="2" t="s">
        <v>26</v>
      </c>
      <c r="G6" s="2"/>
      <c r="H6" s="2"/>
      <c r="I6" s="2" t="s">
        <v>27</v>
      </c>
      <c r="J6" s="2"/>
      <c r="K6" s="2"/>
    </row>
    <row r="7" spans="1:11" x14ac:dyDescent="0.25">
      <c r="A7" s="2" t="s">
        <v>28</v>
      </c>
      <c r="B7" s="2" t="s">
        <v>24</v>
      </c>
      <c r="C7" s="2" t="str">
        <f t="shared" si="0"/>
        <v>2П769В91 КТ-90</v>
      </c>
      <c r="D7" s="2" t="s">
        <v>28</v>
      </c>
      <c r="E7" s="2" t="s">
        <v>25</v>
      </c>
      <c r="F7" s="2" t="s">
        <v>26</v>
      </c>
      <c r="G7" s="2"/>
      <c r="H7" s="2"/>
      <c r="I7" s="2" t="s">
        <v>27</v>
      </c>
      <c r="J7" s="2"/>
      <c r="K7" s="2"/>
    </row>
    <row r="8" spans="1:11" x14ac:dyDescent="0.25">
      <c r="A8" s="2" t="s">
        <v>29</v>
      </c>
      <c r="B8" s="2" t="s">
        <v>21</v>
      </c>
      <c r="C8" s="2" t="str">
        <f t="shared" si="0"/>
        <v>IRLML2502 SOT23</v>
      </c>
      <c r="D8" s="2" t="s">
        <v>29</v>
      </c>
      <c r="E8" s="2" t="s">
        <v>17</v>
      </c>
      <c r="F8" s="2" t="s">
        <v>21</v>
      </c>
      <c r="G8" s="2"/>
      <c r="H8" s="2" t="s">
        <v>30</v>
      </c>
      <c r="I8" s="2"/>
      <c r="J8" s="2"/>
      <c r="K8" s="2"/>
    </row>
    <row r="9" spans="1:11" x14ac:dyDescent="0.25">
      <c r="A9" s="2" t="s">
        <v>31</v>
      </c>
      <c r="B9" s="2" t="s">
        <v>32</v>
      </c>
      <c r="C9" s="2" t="str">
        <f t="shared" si="0"/>
        <v>NCE4060K TO-252-2</v>
      </c>
      <c r="D9" s="2" t="s">
        <v>31</v>
      </c>
      <c r="E9" s="2" t="s">
        <v>25</v>
      </c>
      <c r="F9" s="2" t="s">
        <v>32</v>
      </c>
      <c r="G9" s="2"/>
      <c r="H9" s="2" t="s">
        <v>33</v>
      </c>
      <c r="I9" s="2"/>
      <c r="J9" s="2"/>
      <c r="K9" s="2"/>
    </row>
    <row r="10" spans="1:11" x14ac:dyDescent="0.25">
      <c r="A10" s="2" t="s">
        <v>34</v>
      </c>
      <c r="B10" s="2" t="s">
        <v>32</v>
      </c>
      <c r="C10" s="2" t="str">
        <f t="shared" si="0"/>
        <v>IRFR1205TR TO-252-2</v>
      </c>
      <c r="D10" s="2" t="s">
        <v>34</v>
      </c>
      <c r="E10" s="2" t="s">
        <v>25</v>
      </c>
      <c r="F10" s="2" t="s">
        <v>32</v>
      </c>
      <c r="G10" s="2"/>
      <c r="H10" s="2" t="s">
        <v>30</v>
      </c>
      <c r="I10" s="2"/>
      <c r="J10" s="2"/>
      <c r="K10" s="2"/>
    </row>
    <row r="11" spans="1:11" x14ac:dyDescent="0.25">
      <c r="A11" s="2" t="s">
        <v>35</v>
      </c>
      <c r="B11" s="2"/>
      <c r="C11" s="2" t="str">
        <f t="shared" si="0"/>
        <v xml:space="preserve">STP24NF10 </v>
      </c>
      <c r="D11" s="2" t="s">
        <v>35</v>
      </c>
      <c r="E11" s="2" t="s">
        <v>25</v>
      </c>
      <c r="F11" s="2" t="s">
        <v>36</v>
      </c>
      <c r="G11" s="2" t="s">
        <v>26</v>
      </c>
      <c r="H11" s="2" t="s">
        <v>37</v>
      </c>
      <c r="I11" s="2"/>
      <c r="J11" s="2"/>
      <c r="K11" s="2"/>
    </row>
    <row r="12" spans="1:11" x14ac:dyDescent="0.25">
      <c r="A12" s="2" t="s">
        <v>55</v>
      </c>
      <c r="B12" s="2" t="s">
        <v>21</v>
      </c>
      <c r="C12" s="2" t="str">
        <f t="shared" si="0"/>
        <v>AO3400 SOT23</v>
      </c>
      <c r="D12" s="2" t="s">
        <v>55</v>
      </c>
      <c r="E12" s="2" t="s">
        <v>17</v>
      </c>
      <c r="F12" s="2" t="s">
        <v>21</v>
      </c>
      <c r="G12" s="2"/>
      <c r="H12" s="2" t="s">
        <v>56</v>
      </c>
      <c r="I12" s="2"/>
      <c r="J12" s="2"/>
      <c r="K12" s="2"/>
    </row>
    <row r="13" spans="1:11" x14ac:dyDescent="0.25">
      <c r="A13" s="2" t="s">
        <v>58</v>
      </c>
      <c r="B13" s="2" t="s">
        <v>59</v>
      </c>
      <c r="C13" s="2" t="str">
        <f t="shared" si="0"/>
        <v>2П795А92 КТ-94</v>
      </c>
      <c r="D13" s="2" t="s">
        <v>58</v>
      </c>
      <c r="E13" s="2" t="s">
        <v>17</v>
      </c>
      <c r="F13" s="2" t="s">
        <v>58</v>
      </c>
      <c r="G13" s="2"/>
      <c r="H13" s="2"/>
      <c r="I13" s="2" t="s">
        <v>60</v>
      </c>
      <c r="J13" s="2"/>
      <c r="K13" s="2"/>
    </row>
    <row r="14" spans="1:11" x14ac:dyDescent="0.25">
      <c r="A14" s="2" t="s">
        <v>62</v>
      </c>
      <c r="B14" s="2" t="s">
        <v>63</v>
      </c>
      <c r="C14" s="2" t="str">
        <f t="shared" si="0"/>
        <v>2П7240ВС9 4320.8-А</v>
      </c>
      <c r="D14" s="2" t="s">
        <v>62</v>
      </c>
      <c r="E14" s="2" t="s">
        <v>11</v>
      </c>
      <c r="F14" s="2" t="s">
        <v>13</v>
      </c>
      <c r="G14" s="2"/>
      <c r="H14" s="2"/>
      <c r="I14" s="2" t="s">
        <v>64</v>
      </c>
      <c r="J14" s="2"/>
      <c r="K14" s="2"/>
    </row>
    <row r="15" spans="1:11" x14ac:dyDescent="0.25">
      <c r="A15" s="2" t="s">
        <v>65</v>
      </c>
      <c r="B15" s="2" t="s">
        <v>66</v>
      </c>
      <c r="C15" s="2" t="str">
        <f t="shared" si="0"/>
        <v>2П767А9 КТ-89</v>
      </c>
      <c r="D15" s="2" t="s">
        <v>65</v>
      </c>
      <c r="E15" s="2" t="s">
        <v>25</v>
      </c>
      <c r="F15" s="2" t="s">
        <v>32</v>
      </c>
      <c r="G15" s="2"/>
      <c r="H15" s="2"/>
      <c r="I15" s="2" t="s">
        <v>27</v>
      </c>
      <c r="J15" s="2"/>
      <c r="K15" s="2"/>
    </row>
    <row r="16" spans="1:11" x14ac:dyDescent="0.25">
      <c r="A16" s="2" t="s">
        <v>73</v>
      </c>
      <c r="B16" s="2" t="s">
        <v>74</v>
      </c>
      <c r="C16" s="2" t="str">
        <f t="shared" si="0"/>
        <v>FCA47N60 TO-3PN</v>
      </c>
      <c r="D16" s="2" t="s">
        <v>73</v>
      </c>
      <c r="E16" s="2" t="s">
        <v>25</v>
      </c>
      <c r="F16" s="2" t="s">
        <v>81</v>
      </c>
      <c r="G16" s="2" t="s">
        <v>77</v>
      </c>
      <c r="H16" s="2" t="s">
        <v>10</v>
      </c>
      <c r="I16" s="2"/>
      <c r="J16" s="2"/>
      <c r="K16" s="2"/>
    </row>
    <row r="17" spans="1:11" x14ac:dyDescent="0.25">
      <c r="A17" s="2" t="s">
        <v>76</v>
      </c>
      <c r="B17" s="2" t="s">
        <v>78</v>
      </c>
      <c r="C17" s="2" t="str">
        <f t="shared" si="0"/>
        <v>Si4840BDY SOIC-8</v>
      </c>
      <c r="D17" s="2" t="s">
        <v>76</v>
      </c>
      <c r="E17" s="2" t="s">
        <v>76</v>
      </c>
      <c r="F17" s="2" t="s">
        <v>13</v>
      </c>
      <c r="G17" s="2"/>
      <c r="H17" s="2" t="s">
        <v>22</v>
      </c>
      <c r="I17" s="2"/>
      <c r="J17" s="2"/>
      <c r="K17" s="2"/>
    </row>
    <row r="18" spans="1:11" x14ac:dyDescent="0.25">
      <c r="A18" s="2" t="s">
        <v>80</v>
      </c>
      <c r="B18" s="2" t="s">
        <v>82</v>
      </c>
      <c r="C18" s="2" t="str">
        <f t="shared" si="0"/>
        <v>IRFP450 TO-247</v>
      </c>
      <c r="D18" s="2" t="s">
        <v>80</v>
      </c>
      <c r="E18" s="2" t="s">
        <v>25</v>
      </c>
      <c r="F18" s="2" t="s">
        <v>81</v>
      </c>
      <c r="G18" s="2" t="s">
        <v>77</v>
      </c>
      <c r="H18" s="2" t="s">
        <v>22</v>
      </c>
      <c r="I18" s="2"/>
      <c r="J18" s="2"/>
      <c r="K18" s="2"/>
    </row>
    <row r="19" spans="1:11" x14ac:dyDescent="0.25">
      <c r="A19" s="2" t="s">
        <v>92</v>
      </c>
      <c r="B19" s="2" t="s">
        <v>13</v>
      </c>
      <c r="C19" s="2" t="str">
        <f t="shared" si="0"/>
        <v>IRF7380 8-SOIC</v>
      </c>
      <c r="D19" s="2" t="s">
        <v>86</v>
      </c>
      <c r="E19" s="2" t="s">
        <v>85</v>
      </c>
      <c r="F19" s="2" t="s">
        <v>13</v>
      </c>
      <c r="G19" s="2"/>
      <c r="H19" s="2" t="s">
        <v>87</v>
      </c>
      <c r="I19" s="2"/>
      <c r="J19" s="2"/>
    </row>
    <row r="20" spans="1:11" x14ac:dyDescent="0.25">
      <c r="A20" s="2" t="s">
        <v>93</v>
      </c>
      <c r="B20" s="2" t="s">
        <v>32</v>
      </c>
      <c r="C20" s="2" t="str">
        <f t="shared" si="0"/>
        <v>IRFR120NTRPBF TO-252-2</v>
      </c>
      <c r="D20" s="2" t="s">
        <v>93</v>
      </c>
      <c r="E20" s="2" t="s">
        <v>25</v>
      </c>
      <c r="F20" s="2" t="s">
        <v>32</v>
      </c>
      <c r="G20" s="2"/>
      <c r="H20" s="2" t="s">
        <v>87</v>
      </c>
      <c r="I20" s="2"/>
      <c r="J20" s="2"/>
    </row>
    <row r="21" spans="1:11" x14ac:dyDescent="0.25">
      <c r="A21" s="2" t="s">
        <v>95</v>
      </c>
      <c r="B21" s="2" t="s">
        <v>21</v>
      </c>
      <c r="C21" s="2" t="str">
        <f t="shared" si="0"/>
        <v>5N10 SOT23</v>
      </c>
      <c r="D21" s="2" t="s">
        <v>95</v>
      </c>
      <c r="E21" s="2" t="s">
        <v>25</v>
      </c>
      <c r="F21" s="2" t="s">
        <v>21</v>
      </c>
      <c r="G21" s="2"/>
      <c r="H21" s="2" t="s">
        <v>94</v>
      </c>
      <c r="I21" s="2"/>
      <c r="J21" s="2"/>
    </row>
    <row r="22" spans="1:11" x14ac:dyDescent="0.25">
      <c r="A22" s="2" t="s">
        <v>97</v>
      </c>
      <c r="B22" s="2" t="s">
        <v>32</v>
      </c>
      <c r="C22" s="2" t="str">
        <f>_xlfn.CONCAT(D22, " ", B22)</f>
        <v>IRFR220PbF TO-252-2</v>
      </c>
      <c r="D22" s="2" t="s">
        <v>98</v>
      </c>
      <c r="E22" s="2" t="s">
        <v>25</v>
      </c>
      <c r="F22" s="2" t="s">
        <v>32</v>
      </c>
      <c r="G22" s="2"/>
      <c r="H22" s="2" t="s">
        <v>22</v>
      </c>
      <c r="I22" s="2"/>
      <c r="J22" s="2"/>
    </row>
    <row r="23" spans="1:11" x14ac:dyDescent="0.25">
      <c r="A23" s="2" t="s">
        <v>104</v>
      </c>
      <c r="B23" s="2" t="s">
        <v>21</v>
      </c>
      <c r="C23" s="2" t="str">
        <f>_xlfn.CONCAT(D23, " ", B23)</f>
        <v>IRLML2060TRPBF SOT23</v>
      </c>
      <c r="D23" s="2" t="s">
        <v>103</v>
      </c>
      <c r="E23" s="2" t="s">
        <v>17</v>
      </c>
      <c r="F23" s="2" t="s">
        <v>21</v>
      </c>
      <c r="G23" s="2"/>
      <c r="H23" s="2" t="s">
        <v>102</v>
      </c>
      <c r="I23" s="2"/>
      <c r="J23" s="2"/>
    </row>
    <row r="24" spans="1:11" x14ac:dyDescent="0.25">
      <c r="A24" s="2"/>
      <c r="B24" s="2"/>
      <c r="C24" s="2"/>
      <c r="D24" s="2"/>
      <c r="E24" s="2"/>
      <c r="F24" s="2"/>
      <c r="G24" s="2"/>
      <c r="H24" s="2"/>
      <c r="I24" s="2"/>
      <c r="J24" s="2"/>
    </row>
    <row r="25" spans="1:11" x14ac:dyDescent="0.25">
      <c r="A25" s="2"/>
      <c r="B25" s="2"/>
      <c r="C25" s="2"/>
      <c r="D25" s="2"/>
      <c r="E25" s="2"/>
      <c r="F25" s="2"/>
      <c r="G25" s="2"/>
      <c r="H25" s="2"/>
      <c r="I25" s="2"/>
      <c r="J25" s="2"/>
    </row>
    <row r="26" spans="1:11" x14ac:dyDescent="0.25">
      <c r="A26" s="2"/>
      <c r="B26" s="2"/>
      <c r="C26" s="2"/>
      <c r="D26" s="2"/>
      <c r="E26" s="2"/>
      <c r="F26" s="2"/>
      <c r="G26" s="2"/>
      <c r="H26" s="2"/>
      <c r="I26" s="2"/>
      <c r="J26" s="2"/>
    </row>
    <row r="27" spans="1:11" x14ac:dyDescent="0.25">
      <c r="A27" s="2"/>
      <c r="B27" s="2"/>
      <c r="C27" s="2"/>
      <c r="D27" s="2"/>
      <c r="E27" s="2"/>
      <c r="F27" s="2"/>
      <c r="G27" s="2"/>
      <c r="H27" s="2"/>
      <c r="I27" s="2"/>
      <c r="J27" s="2"/>
    </row>
    <row r="28" spans="1:11" x14ac:dyDescent="0.25">
      <c r="A28" s="2"/>
      <c r="B28" s="2"/>
      <c r="C28" s="2"/>
      <c r="D28" s="2"/>
      <c r="E28" s="2"/>
      <c r="F28" s="2"/>
      <c r="G28" s="2"/>
      <c r="H28" s="2"/>
      <c r="I28" s="2"/>
      <c r="J28" s="2"/>
    </row>
    <row r="29" spans="1:11" x14ac:dyDescent="0.25">
      <c r="A29" s="2"/>
      <c r="B29" s="2"/>
      <c r="C29" s="2"/>
      <c r="D29" s="2"/>
      <c r="E29" s="2"/>
      <c r="F29" s="2"/>
      <c r="G29" s="2"/>
      <c r="H29" s="2"/>
      <c r="I29" s="2"/>
      <c r="J29" s="2"/>
    </row>
    <row r="30" spans="1:11" x14ac:dyDescent="0.25">
      <c r="A30" s="2"/>
      <c r="B30" s="2"/>
      <c r="C30" s="2"/>
      <c r="D30" s="2"/>
      <c r="E30" s="2"/>
      <c r="F30" s="2"/>
      <c r="G30" s="2"/>
      <c r="H30" s="2"/>
      <c r="I30" s="2"/>
      <c r="J30" s="2"/>
    </row>
    <row r="31" spans="1:11" x14ac:dyDescent="0.25">
      <c r="A31" s="2"/>
      <c r="B31" s="2"/>
      <c r="C31" s="2"/>
      <c r="D31" s="2"/>
      <c r="E31" s="2"/>
      <c r="F31" s="2"/>
      <c r="G31" s="2"/>
      <c r="H31" s="2"/>
      <c r="I31" s="2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A36DDB-75CB-4526-8B7C-3E1D54E638B5}">
  <dimension ref="A1:M22"/>
  <sheetViews>
    <sheetView zoomScaleNormal="100" workbookViewId="0">
      <selection activeCell="C17" sqref="C17"/>
    </sheetView>
  </sheetViews>
  <sheetFormatPr defaultColWidth="8.85546875" defaultRowHeight="15" x14ac:dyDescent="0.25"/>
  <cols>
    <col min="1" max="2" width="20.85546875" customWidth="1"/>
    <col min="3" max="3" width="25.85546875" customWidth="1"/>
    <col min="4" max="9" width="20.85546875" customWidth="1"/>
  </cols>
  <sheetData>
    <row r="1" spans="1:13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13" x14ac:dyDescent="0.25">
      <c r="A2" s="2" t="s">
        <v>38</v>
      </c>
      <c r="B2" s="2" t="s">
        <v>9</v>
      </c>
      <c r="C2" s="2" t="str">
        <f t="shared" ref="C2:C12" si="0">_xlfn.CONCAT(D2, " ", B2)</f>
        <v>FDC654P SuperSOT6</v>
      </c>
      <c r="D2" s="2" t="s">
        <v>38</v>
      </c>
      <c r="E2" s="2" t="s">
        <v>38</v>
      </c>
      <c r="F2" s="2" t="s">
        <v>9</v>
      </c>
      <c r="G2" s="2" t="s">
        <v>10</v>
      </c>
      <c r="H2" s="2"/>
      <c r="I2" s="2"/>
      <c r="J2" s="2"/>
      <c r="K2" s="2"/>
      <c r="L2" s="2"/>
      <c r="M2" s="2"/>
    </row>
    <row r="3" spans="1:13" x14ac:dyDescent="0.25">
      <c r="A3" s="2" t="s">
        <v>39</v>
      </c>
      <c r="B3" s="2" t="s">
        <v>16</v>
      </c>
      <c r="C3" s="2" t="str">
        <f t="shared" si="0"/>
        <v>BSS84W-7-F SOT-323</v>
      </c>
      <c r="D3" s="2" t="s">
        <v>39</v>
      </c>
      <c r="E3" s="2" t="s">
        <v>40</v>
      </c>
      <c r="F3" s="2" t="s">
        <v>18</v>
      </c>
      <c r="G3" s="2" t="s">
        <v>19</v>
      </c>
      <c r="H3" s="2"/>
      <c r="I3" s="2"/>
      <c r="J3" s="2"/>
      <c r="K3" s="2"/>
      <c r="L3" s="2"/>
      <c r="M3" s="2"/>
    </row>
    <row r="4" spans="1:13" x14ac:dyDescent="0.25">
      <c r="A4" s="2" t="s">
        <v>41</v>
      </c>
      <c r="B4" s="2" t="s">
        <v>21</v>
      </c>
      <c r="C4" s="2" t="str">
        <f t="shared" si="0"/>
        <v>SI2301CDS-T1-GE3 SOT23</v>
      </c>
      <c r="D4" s="2" t="s">
        <v>41</v>
      </c>
      <c r="E4" s="2" t="s">
        <v>40</v>
      </c>
      <c r="F4" s="2" t="s">
        <v>21</v>
      </c>
      <c r="G4" s="2" t="s">
        <v>22</v>
      </c>
      <c r="H4" s="2"/>
      <c r="I4" s="2"/>
      <c r="J4" s="2"/>
      <c r="K4" s="2"/>
      <c r="L4" s="2"/>
      <c r="M4" s="2"/>
    </row>
    <row r="5" spans="1:13" x14ac:dyDescent="0.25">
      <c r="A5" s="2" t="s">
        <v>42</v>
      </c>
      <c r="B5" s="2" t="s">
        <v>21</v>
      </c>
      <c r="C5" s="2" t="str">
        <f t="shared" si="0"/>
        <v>IRLML6402 SOT23</v>
      </c>
      <c r="D5" s="2" t="s">
        <v>42</v>
      </c>
      <c r="E5" s="2" t="s">
        <v>40</v>
      </c>
      <c r="F5" s="2" t="s">
        <v>21</v>
      </c>
      <c r="G5" s="2" t="s">
        <v>30</v>
      </c>
      <c r="H5" s="2"/>
      <c r="I5" s="2"/>
      <c r="J5" s="2"/>
      <c r="K5" s="2"/>
      <c r="L5" s="2"/>
      <c r="M5" s="2"/>
    </row>
    <row r="6" spans="1:13" x14ac:dyDescent="0.25">
      <c r="A6" s="2" t="s">
        <v>43</v>
      </c>
      <c r="B6" s="2" t="s">
        <v>32</v>
      </c>
      <c r="C6" s="2" t="str">
        <f t="shared" si="0"/>
        <v>NCE40P40K TO-252-2</v>
      </c>
      <c r="D6" s="2" t="s">
        <v>43</v>
      </c>
      <c r="E6" s="2" t="s">
        <v>44</v>
      </c>
      <c r="F6" s="2" t="s">
        <v>32</v>
      </c>
      <c r="G6" s="2" t="s">
        <v>33</v>
      </c>
      <c r="H6" s="2"/>
      <c r="I6" s="2"/>
      <c r="J6" s="2"/>
      <c r="K6" s="2"/>
      <c r="L6" s="2"/>
      <c r="M6" s="2"/>
    </row>
    <row r="7" spans="1:13" x14ac:dyDescent="0.25">
      <c r="A7" s="2" t="s">
        <v>45</v>
      </c>
      <c r="B7" s="2" t="s">
        <v>32</v>
      </c>
      <c r="C7" s="2" t="str">
        <f t="shared" si="0"/>
        <v>FDD6685 TO-252-2</v>
      </c>
      <c r="D7" s="2" t="s">
        <v>45</v>
      </c>
      <c r="E7" s="2" t="s">
        <v>44</v>
      </c>
      <c r="F7" s="2" t="s">
        <v>32</v>
      </c>
      <c r="G7" s="2" t="s">
        <v>30</v>
      </c>
      <c r="H7" s="2"/>
      <c r="I7" s="2"/>
      <c r="J7" s="2"/>
      <c r="K7" s="2"/>
      <c r="L7" s="2"/>
      <c r="M7" s="2"/>
    </row>
    <row r="8" spans="1:13" x14ac:dyDescent="0.25">
      <c r="A8" s="2" t="s">
        <v>46</v>
      </c>
      <c r="B8" s="2" t="s">
        <v>32</v>
      </c>
      <c r="C8" s="2" t="str">
        <f t="shared" si="0"/>
        <v>AOD403 TO-252-2</v>
      </c>
      <c r="D8" s="2" t="s">
        <v>46</v>
      </c>
      <c r="E8" s="2" t="s">
        <v>44</v>
      </c>
      <c r="F8" s="2" t="s">
        <v>32</v>
      </c>
      <c r="G8" s="2" t="s">
        <v>30</v>
      </c>
      <c r="H8" s="2"/>
      <c r="I8" s="2"/>
      <c r="J8" s="2"/>
      <c r="K8" s="2"/>
      <c r="L8" s="2"/>
      <c r="M8" s="2"/>
    </row>
    <row r="9" spans="1:13" x14ac:dyDescent="0.25">
      <c r="A9" s="2" t="s">
        <v>57</v>
      </c>
      <c r="B9" s="2" t="s">
        <v>21</v>
      </c>
      <c r="C9" s="2" t="str">
        <f t="shared" si="0"/>
        <v>AO3401A SOT23</v>
      </c>
      <c r="D9" s="2" t="s">
        <v>57</v>
      </c>
      <c r="E9" s="2" t="s">
        <v>40</v>
      </c>
      <c r="F9" s="2" t="s">
        <v>21</v>
      </c>
      <c r="G9" s="2" t="s">
        <v>30</v>
      </c>
      <c r="H9" s="2"/>
      <c r="I9" s="2"/>
      <c r="J9" s="2"/>
      <c r="K9" s="2"/>
      <c r="L9" s="2"/>
      <c r="M9" s="2"/>
    </row>
    <row r="10" spans="1:13" x14ac:dyDescent="0.25">
      <c r="A10" s="2" t="s">
        <v>61</v>
      </c>
      <c r="B10" s="2" t="s">
        <v>63</v>
      </c>
      <c r="C10" s="2" t="str">
        <f t="shared" si="0"/>
        <v>2П7241ВС9 4320.8-А</v>
      </c>
      <c r="D10" s="2" t="s">
        <v>61</v>
      </c>
      <c r="E10" s="2" t="s">
        <v>61</v>
      </c>
      <c r="F10" s="2" t="s">
        <v>13</v>
      </c>
      <c r="G10" s="2"/>
      <c r="H10" s="2" t="s">
        <v>64</v>
      </c>
      <c r="I10" s="2"/>
      <c r="J10" s="2"/>
      <c r="K10" s="2"/>
      <c r="L10" s="2"/>
      <c r="M10" s="2"/>
    </row>
    <row r="11" spans="1:13" x14ac:dyDescent="0.25">
      <c r="A11" s="2" t="s">
        <v>88</v>
      </c>
      <c r="B11" s="2" t="s">
        <v>89</v>
      </c>
      <c r="C11" s="2" t="str">
        <f t="shared" si="0"/>
        <v>WMT04N10TS SOT223</v>
      </c>
      <c r="D11" s="2" t="s">
        <v>88</v>
      </c>
      <c r="E11" s="2" t="s">
        <v>91</v>
      </c>
      <c r="F11" s="2" t="s">
        <v>89</v>
      </c>
      <c r="G11" s="2" t="s">
        <v>90</v>
      </c>
      <c r="H11" s="2"/>
      <c r="I11" s="2"/>
      <c r="J11" s="2"/>
      <c r="K11" s="2"/>
      <c r="L11" s="2"/>
      <c r="M11" s="2"/>
    </row>
    <row r="12" spans="1:13" x14ac:dyDescent="0.25">
      <c r="A12" s="2" t="s">
        <v>96</v>
      </c>
      <c r="B12" s="2" t="s">
        <v>32</v>
      </c>
      <c r="C12" s="2" t="str">
        <f t="shared" si="0"/>
        <v>IRFR9120 TO-252-2</v>
      </c>
      <c r="D12" s="2" t="s">
        <v>96</v>
      </c>
      <c r="E12" s="2" t="s">
        <v>44</v>
      </c>
      <c r="F12" s="2" t="s">
        <v>32</v>
      </c>
      <c r="G12" s="2" t="s">
        <v>22</v>
      </c>
      <c r="H12" s="2"/>
      <c r="I12" s="2"/>
      <c r="J12" s="2"/>
      <c r="K12" s="2"/>
      <c r="L12" s="2"/>
      <c r="M12" s="2"/>
    </row>
    <row r="13" spans="1:13" x14ac:dyDescent="0.25">
      <c r="A13" t="s">
        <v>99</v>
      </c>
      <c r="B13" s="2" t="s">
        <v>13</v>
      </c>
      <c r="C13" s="2" t="str">
        <f>_xlfn.CONCAT(D13, " ", B13)</f>
        <v>NDS9948 8-SOIC</v>
      </c>
      <c r="D13" t="s">
        <v>99</v>
      </c>
      <c r="E13" s="2" t="s">
        <v>99</v>
      </c>
      <c r="F13" s="2" t="s">
        <v>13</v>
      </c>
      <c r="G13" s="2" t="s">
        <v>100</v>
      </c>
      <c r="H13" s="2"/>
      <c r="I13" s="2"/>
      <c r="J13" s="2"/>
      <c r="K13" s="2"/>
      <c r="L13" s="2"/>
      <c r="M13" s="2"/>
    </row>
    <row r="14" spans="1:13" x14ac:dyDescent="0.25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</row>
    <row r="15" spans="1:13" x14ac:dyDescent="0.2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</row>
    <row r="16" spans="1:13" x14ac:dyDescent="0.25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</row>
    <row r="17" spans="1:13" x14ac:dyDescent="0.25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</row>
    <row r="18" spans="1:13" x14ac:dyDescent="0.25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</row>
    <row r="19" spans="1:13" x14ac:dyDescent="0.25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</row>
    <row r="20" spans="1:13" x14ac:dyDescent="0.25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</row>
    <row r="21" spans="1:13" x14ac:dyDescent="0.25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</row>
    <row r="22" spans="1:13" x14ac:dyDescent="0.25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342F99-7B21-453C-995C-4446AFFB9290}">
  <dimension ref="A1:I5"/>
  <sheetViews>
    <sheetView zoomScaleNormal="100" workbookViewId="0">
      <selection activeCell="C5" sqref="C5"/>
    </sheetView>
  </sheetViews>
  <sheetFormatPr defaultColWidth="8.85546875" defaultRowHeight="15" x14ac:dyDescent="0.25"/>
  <cols>
    <col min="1" max="2" width="20.85546875" customWidth="1"/>
    <col min="3" max="3" width="25.85546875" customWidth="1"/>
    <col min="4" max="10" width="20.85546875" customWidth="1"/>
  </cols>
  <sheetData>
    <row r="1" spans="1:9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75</v>
      </c>
      <c r="H1" s="1" t="s">
        <v>6</v>
      </c>
      <c r="I1" s="1" t="s">
        <v>7</v>
      </c>
    </row>
    <row r="2" spans="1:9" x14ac:dyDescent="0.25">
      <c r="A2" s="4" t="s">
        <v>47</v>
      </c>
      <c r="B2" s="2" t="s">
        <v>21</v>
      </c>
      <c r="C2" s="4" t="s">
        <v>48</v>
      </c>
      <c r="D2" s="4" t="s">
        <v>49</v>
      </c>
      <c r="E2" s="2" t="s">
        <v>50</v>
      </c>
      <c r="F2" s="2" t="s">
        <v>21</v>
      </c>
      <c r="G2" s="2"/>
      <c r="H2" s="2" t="s">
        <v>51</v>
      </c>
    </row>
    <row r="3" spans="1:9" x14ac:dyDescent="0.25">
      <c r="A3" t="s">
        <v>68</v>
      </c>
      <c r="B3" t="s">
        <v>69</v>
      </c>
      <c r="C3" t="s">
        <v>79</v>
      </c>
      <c r="D3" t="s">
        <v>68</v>
      </c>
      <c r="E3" t="s">
        <v>67</v>
      </c>
      <c r="F3" t="s">
        <v>68</v>
      </c>
      <c r="I3" t="s">
        <v>70</v>
      </c>
    </row>
    <row r="4" spans="1:9" x14ac:dyDescent="0.25">
      <c r="A4" t="s">
        <v>83</v>
      </c>
      <c r="B4" t="s">
        <v>82</v>
      </c>
      <c r="C4" t="s">
        <v>84</v>
      </c>
      <c r="D4" t="s">
        <v>83</v>
      </c>
      <c r="E4" t="s">
        <v>67</v>
      </c>
      <c r="F4" t="s">
        <v>81</v>
      </c>
      <c r="G4" t="s">
        <v>77</v>
      </c>
      <c r="H4" t="s">
        <v>100</v>
      </c>
    </row>
    <row r="5" spans="1:9" x14ac:dyDescent="0.25">
      <c r="A5" t="s">
        <v>101</v>
      </c>
      <c r="B5" t="s">
        <v>82</v>
      </c>
      <c r="C5" t="str">
        <f>_xlfn.CONCAT(D5, " ", B5)</f>
        <v>FGH60N60SMD TO-247</v>
      </c>
      <c r="D5" t="s">
        <v>101</v>
      </c>
      <c r="E5" t="s">
        <v>67</v>
      </c>
      <c r="F5" t="s">
        <v>81</v>
      </c>
      <c r="G5" t="s">
        <v>77</v>
      </c>
      <c r="H5" t="s">
        <v>100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D7E81C-1413-426F-8EBE-717C09928723}">
  <dimension ref="A1:H3"/>
  <sheetViews>
    <sheetView zoomScaleNormal="100" workbookViewId="0"/>
  </sheetViews>
  <sheetFormatPr defaultColWidth="8.85546875" defaultRowHeight="15" x14ac:dyDescent="0.25"/>
  <cols>
    <col min="1" max="2" width="20.85546875" customWidth="1"/>
    <col min="3" max="3" width="25.85546875" customWidth="1"/>
    <col min="4" max="9" width="20.85546875" customWidth="1"/>
  </cols>
  <sheetData>
    <row r="1" spans="1:8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5">
      <c r="A2" s="4" t="s">
        <v>52</v>
      </c>
      <c r="B2" s="2" t="s">
        <v>21</v>
      </c>
      <c r="C2" s="4" t="s">
        <v>53</v>
      </c>
      <c r="D2" s="4" t="s">
        <v>52</v>
      </c>
      <c r="E2" s="2" t="s">
        <v>54</v>
      </c>
      <c r="F2" s="2" t="s">
        <v>21</v>
      </c>
      <c r="G2" s="3" t="s">
        <v>30</v>
      </c>
    </row>
    <row r="3" spans="1:8" x14ac:dyDescent="0.25">
      <c r="A3" t="s">
        <v>71</v>
      </c>
      <c r="B3" s="2" t="s">
        <v>21</v>
      </c>
      <c r="C3" t="s">
        <v>72</v>
      </c>
      <c r="D3" t="s">
        <v>71</v>
      </c>
      <c r="E3" t="s">
        <v>54</v>
      </c>
      <c r="F3" s="2" t="s">
        <v>21</v>
      </c>
      <c r="G3" s="3" t="s">
        <v>30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4</vt:i4>
      </vt:variant>
    </vt:vector>
  </HeadingPairs>
  <TitlesOfParts>
    <vt:vector size="4" baseType="lpstr">
      <vt:lpstr>nmos</vt:lpstr>
      <vt:lpstr>pmos</vt:lpstr>
      <vt:lpstr>npn</vt:lpstr>
      <vt:lpstr>pnp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garou</dc:creator>
  <cp:lastModifiedBy>10195</cp:lastModifiedBy>
  <dcterms:created xsi:type="dcterms:W3CDTF">2025-04-25T10:51:26Z</dcterms:created>
  <dcterms:modified xsi:type="dcterms:W3CDTF">2026-08-18T11:55:36Z</dcterms:modified>
</cp:coreProperties>
</file>