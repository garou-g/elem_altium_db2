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039495C0-C948-4384-AB34-B52A0FF16BD1}" xr6:coauthVersionLast="47" xr6:coauthVersionMax="47" xr10:uidLastSave="{00000000-0000-0000-0000-000000000000}"/>
  <bookViews>
    <workbookView xWindow="-28920" yWindow="-120" windowWidth="29040" windowHeight="15840" xr2:uid="{EE2E7F00-6B54-4C0B-98D7-835E87062BAF}"/>
  </bookViews>
  <sheets>
    <sheet name="nmos" sheetId="8" r:id="rId1"/>
    <sheet name="pmos" sheetId="7" r:id="rId2"/>
    <sheet name="npn" sheetId="6" r:id="rId3"/>
    <sheet name="pnp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8" l="1"/>
  <c r="C5" i="6"/>
  <c r="C2" i="7"/>
  <c r="C3" i="7"/>
  <c r="C4" i="7"/>
  <c r="C5" i="7"/>
  <c r="C6" i="7"/>
  <c r="C7" i="7"/>
  <c r="C8" i="7"/>
  <c r="C9" i="7"/>
  <c r="C10" i="7"/>
  <c r="C11" i="7"/>
  <c r="C12" i="7"/>
  <c r="C13" i="7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</calcChain>
</file>

<file path=xl/sharedStrings.xml><?xml version="1.0" encoding="utf-8"?>
<sst xmlns="http://schemas.openxmlformats.org/spreadsheetml/2006/main" count="278" uniqueCount="105">
  <si>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</si>
  <si>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</si>
  <si>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</si>
  <si>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</si>
  <si>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</si>
  <si>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</si>
  <si>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</si>
  <si>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</si>
  <si>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FDC655BN</t>
  </si>
  <si>
    <t>SuperSOT6</t>
  </si>
  <si>
    <t>Fairchild semiconductor</t>
  </si>
  <si>
    <t>IRF9910PBF</t>
  </si>
  <si>
    <t>SO-8</t>
  </si>
  <si>
    <t>8-SOIC</t>
  </si>
  <si>
    <t>Infineon</t>
  </si>
  <si>
    <t>BSS138W-7-F</t>
  </si>
  <si>
    <t>SOT-323</t>
  </si>
  <si>
    <t>N-Channel 1G3D2S</t>
  </si>
  <si>
    <t>SOT323</t>
  </si>
  <si>
    <t>Diodes Incorporated</t>
  </si>
  <si>
    <t>SI2302CDS-T1-GE3</t>
  </si>
  <si>
    <t>SOT23</t>
  </si>
  <si>
    <t>Vishay</t>
  </si>
  <si>
    <t>2П769Д91</t>
  </si>
  <si>
    <t>КТ-90</t>
  </si>
  <si>
    <t>N-Channel 1G2D3S</t>
  </si>
  <si>
    <t>TO-263-2</t>
  </si>
  <si>
    <t>АЕЯР.432140.220ТУ</t>
  </si>
  <si>
    <t>2П769В91</t>
  </si>
  <si>
    <t>IRLML2502</t>
  </si>
  <si>
    <t>UMW</t>
  </si>
  <si>
    <t>NCE4060K</t>
  </si>
  <si>
    <t>TO-252-2</t>
  </si>
  <si>
    <t>NCE Power</t>
  </si>
  <si>
    <t>IRFR1205TR</t>
  </si>
  <si>
    <t>STP24NF10</t>
  </si>
  <si>
    <t>TO-220</t>
  </si>
  <si>
    <t>STMicroelectronics</t>
  </si>
  <si>
    <t>FDC654P</t>
  </si>
  <si>
    <t>BSS84W-7-F</t>
  </si>
  <si>
    <t>P-Channel 1G3D2S</t>
  </si>
  <si>
    <t>SI2301CDS-T1-GE3</t>
  </si>
  <si>
    <t>IRLML6402</t>
  </si>
  <si>
    <t>NCE40P40K</t>
  </si>
  <si>
    <t>P-Channel 1G2D3S</t>
  </si>
  <si>
    <t>FDD6685</t>
  </si>
  <si>
    <t>AOD403</t>
  </si>
  <si>
    <t>BC847</t>
  </si>
  <si>
    <t>BC847,215 SOT23</t>
  </si>
  <si>
    <t>BC847,215</t>
  </si>
  <si>
    <t>NPN 1B3C2E</t>
  </si>
  <si>
    <t>Nexperia</t>
  </si>
  <si>
    <t>MMBTA92</t>
  </si>
  <si>
    <t>MMBTA92 SOT23</t>
  </si>
  <si>
    <t>PNP 1B3C2E</t>
  </si>
  <si>
    <t>AO3400</t>
  </si>
  <si>
    <t>Hottech Semiconductor</t>
  </si>
  <si>
    <t>AO3401A</t>
  </si>
  <si>
    <t>2П795А92</t>
  </si>
  <si>
    <t>КТ-94</t>
  </si>
  <si>
    <t xml:space="preserve">
АЕЯР.432140.273ТУ</t>
  </si>
  <si>
    <t>2П7241ВС9</t>
  </si>
  <si>
    <t>2П7240ВС9</t>
  </si>
  <si>
    <t>4320.8-А</t>
  </si>
  <si>
    <t>АЕЯР.432140.605ТУ</t>
  </si>
  <si>
    <t>2П767А9</t>
  </si>
  <si>
    <t>КТ-89</t>
  </si>
  <si>
    <t>NPN 1B2C3E IGBT</t>
  </si>
  <si>
    <t>2Е725Б</t>
  </si>
  <si>
    <t>КТ-43А-1.01</t>
  </si>
  <si>
    <t>АЕЯР.432140.492ТУ</t>
  </si>
  <si>
    <t>BC857B</t>
  </si>
  <si>
    <t>BC857B SOT23</t>
  </si>
  <si>
    <t>FCA47N60</t>
  </si>
  <si>
    <t>TO-3PN</t>
  </si>
  <si>
    <t>Footprint Ref 2</t>
  </si>
  <si>
    <t>Si4840BDY</t>
  </si>
  <si>
    <t>TO-3PN_Horizontal</t>
  </si>
  <si>
    <t>SOIC-8</t>
  </si>
  <si>
    <t>2Е725Б КТ-43А-1.01</t>
  </si>
  <si>
    <t>IRFP450</t>
  </si>
  <si>
    <t>TO-3PN_Vertical</t>
  </si>
  <si>
    <t>TO-247</t>
  </si>
  <si>
    <r>
      <t>FGH40N60</t>
    </r>
    <r>
      <rPr>
        <sz val="11"/>
        <color rgb="FF000000"/>
        <rFont val="Calibri"/>
        <family val="2"/>
        <charset val="204"/>
        <scheme val="minor"/>
      </rPr>
      <t>SFD</t>
    </r>
  </si>
  <si>
    <r>
      <t>FGH40N60</t>
    </r>
    <r>
      <rPr>
        <sz val="11"/>
        <color rgb="FF000000"/>
        <rFont val="Calibri"/>
        <family val="2"/>
        <charset val="204"/>
        <scheme val="minor"/>
      </rPr>
      <t>SFD TO-247</t>
    </r>
  </si>
  <si>
    <t>Dual n-mos 8-soic</t>
  </si>
  <si>
    <t>IRF7380</t>
  </si>
  <si>
    <t>INFIN</t>
  </si>
  <si>
    <t>WMT04N10TS</t>
  </si>
  <si>
    <t>SOT223</t>
  </si>
  <si>
    <t>WAYON</t>
  </si>
  <si>
    <t>P-Channel 1G24D3S</t>
  </si>
  <si>
    <t>IRF7380TRPBF</t>
  </si>
  <si>
    <t>IRFR120NTRPBF</t>
  </si>
  <si>
    <t>HOTTECH5N10</t>
  </si>
  <si>
    <t>5N10</t>
  </si>
  <si>
    <t>IRFR9120</t>
  </si>
  <si>
    <t>IRFR220</t>
  </si>
  <si>
    <t>IRFR220PbF</t>
  </si>
  <si>
    <t>NDS9948</t>
  </si>
  <si>
    <t>ON Semiconductor</t>
  </si>
  <si>
    <t>FGH60N60SMD</t>
  </si>
  <si>
    <t>Infineon Technologies</t>
  </si>
  <si>
    <t>IRLML2060TRPBF</t>
  </si>
  <si>
    <t>IRLML2060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</si>
</sst>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11"/>
      <color rgb="FF00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5">
    <xf numFmtId="0" fontId="0" fillId="0" borderId="0" xfId="0"/>
    <xf numFmtId="49" fontId="1" fillId="2" borderId="0" xfId="1" applyNumberFormat="1" applyBorder="1" applyAlignment="1" applyProtection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49" fontId="0" fillId="0" borderId="0" xfId="0" applyNumberFormat="1" applyAlignment="1">
      <alignment vertical="center"/>
    </xf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6DCBB-C7F7-4A7A-A3DD-2292F908D4B3}">
  <dimension ref="A1:K31"/>
  <sheetViews>
    <sheetView tabSelected="1" zoomScaleNormal="100" workbookViewId="0">
      <selection activeCell="M14" sqref="M14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75</v>
      </c>
      <c r="H1" s="1" t="s">
        <v>6</v>
      </c>
      <c r="I1" s="1" t="s">
        <v>7</v>
      </c>
    </row>
    <row r="2" spans="1:11" x14ac:dyDescent="0.25">
      <c r="A2" s="2" t="s">
        <v>8</v>
      </c>
      <c r="B2" s="2" t="s">
        <v>9</v>
      </c>
      <c r="C2" s="2" t="str">
        <f t="shared" ref="C2:C21" si="0">_xlfn.CONCAT(D2, " ", B2)</f>
        <v>FDC655BN SuperSOT6</v>
      </c>
      <c r="D2" s="2" t="s">
        <v>8</v>
      </c>
      <c r="E2" s="2" t="s">
        <v>8</v>
      </c>
      <c r="F2" s="2" t="s">
        <v>9</v>
      </c>
      <c r="G2" s="2"/>
      <c r="H2" s="2" t="s">
        <v>10</v>
      </c>
      <c r="I2" s="2"/>
      <c r="J2" s="2"/>
      <c r="K2" s="2"/>
    </row>
    <row r="3" spans="1:11" x14ac:dyDescent="0.25">
      <c r="A3" s="2" t="s">
        <v>11</v>
      </c>
      <c r="B3" s="2" t="s">
        <v>12</v>
      </c>
      <c r="C3" s="2" t="str">
        <f t="shared" si="0"/>
        <v>IRF9910PBF SO-8</v>
      </c>
      <c r="D3" s="2" t="s">
        <v>11</v>
      </c>
      <c r="E3" s="2" t="s">
        <v>11</v>
      </c>
      <c r="F3" s="2" t="s">
        <v>13</v>
      </c>
      <c r="G3" s="2"/>
      <c r="H3" s="2" t="s">
        <v>14</v>
      </c>
      <c r="I3" s="2"/>
      <c r="J3" s="2"/>
      <c r="K3" s="2"/>
    </row>
    <row r="4" spans="1:11" x14ac:dyDescent="0.25">
      <c r="A4" s="2" t="s">
        <v>15</v>
      </c>
      <c r="B4" s="2" t="s">
        <v>16</v>
      </c>
      <c r="C4" s="2" t="str">
        <f t="shared" si="0"/>
        <v>BSS138W-7-F SOT-323</v>
      </c>
      <c r="D4" s="2" t="s">
        <v>15</v>
      </c>
      <c r="E4" s="2" t="s">
        <v>17</v>
      </c>
      <c r="F4" s="2" t="s">
        <v>18</v>
      </c>
      <c r="G4" s="2"/>
      <c r="H4" s="2" t="s">
        <v>19</v>
      </c>
      <c r="I4" s="2"/>
      <c r="J4" s="2"/>
      <c r="K4" s="2"/>
    </row>
    <row r="5" spans="1:11" x14ac:dyDescent="0.25">
      <c r="A5" s="2" t="s">
        <v>20</v>
      </c>
      <c r="B5" s="2" t="s">
        <v>21</v>
      </c>
      <c r="C5" s="2" t="str">
        <f t="shared" si="0"/>
        <v>SI2302CDS-T1-GE3 SOT23</v>
      </c>
      <c r="D5" s="2" t="s">
        <v>20</v>
      </c>
      <c r="E5" s="2" t="s">
        <v>17</v>
      </c>
      <c r="F5" s="2" t="s">
        <v>21</v>
      </c>
      <c r="G5" s="2"/>
      <c r="H5" s="2" t="s">
        <v>22</v>
      </c>
      <c r="I5" s="2"/>
      <c r="J5" s="2"/>
      <c r="K5" s="2"/>
    </row>
    <row r="6" spans="1:11" x14ac:dyDescent="0.25">
      <c r="A6" s="2" t="s">
        <v>23</v>
      </c>
      <c r="B6" s="2" t="s">
        <v>24</v>
      </c>
      <c r="C6" s="2" t="str">
        <f t="shared" si="0"/>
        <v>2П769Д91 КТ-90</v>
      </c>
      <c r="D6" s="2" t="s">
        <v>23</v>
      </c>
      <c r="E6" s="2" t="s">
        <v>25</v>
      </c>
      <c r="F6" s="2" t="s">
        <v>26</v>
      </c>
      <c r="G6" s="2"/>
      <c r="H6" s="2"/>
      <c r="I6" s="2" t="s">
        <v>27</v>
      </c>
      <c r="J6" s="2"/>
      <c r="K6" s="2"/>
    </row>
    <row r="7" spans="1:11" x14ac:dyDescent="0.25">
      <c r="A7" s="2" t="s">
        <v>28</v>
      </c>
      <c r="B7" s="2" t="s">
        <v>24</v>
      </c>
      <c r="C7" s="2" t="str">
        <f t="shared" si="0"/>
        <v>2П769В91 КТ-90</v>
      </c>
      <c r="D7" s="2" t="s">
        <v>28</v>
      </c>
      <c r="E7" s="2" t="s">
        <v>25</v>
      </c>
      <c r="F7" s="2" t="s">
        <v>26</v>
      </c>
      <c r="G7" s="2"/>
      <c r="H7" s="2"/>
      <c r="I7" s="2" t="s">
        <v>27</v>
      </c>
      <c r="J7" s="2"/>
      <c r="K7" s="2"/>
    </row>
    <row r="8" spans="1:11" x14ac:dyDescent="0.25">
      <c r="A8" s="2" t="s">
        <v>29</v>
      </c>
      <c r="B8" s="2" t="s">
        <v>21</v>
      </c>
      <c r="C8" s="2" t="str">
        <f t="shared" si="0"/>
        <v>IRLML2502 SOT23</v>
      </c>
      <c r="D8" s="2" t="s">
        <v>29</v>
      </c>
      <c r="E8" s="2" t="s">
        <v>17</v>
      </c>
      <c r="F8" s="2" t="s">
        <v>21</v>
      </c>
      <c r="G8" s="2"/>
      <c r="H8" s="2" t="s">
        <v>30</v>
      </c>
      <c r="I8" s="2"/>
      <c r="J8" s="2"/>
      <c r="K8" s="2"/>
    </row>
    <row r="9" spans="1:11" x14ac:dyDescent="0.25">
      <c r="A9" s="2" t="s">
        <v>31</v>
      </c>
      <c r="B9" s="2" t="s">
        <v>32</v>
      </c>
      <c r="C9" s="2" t="str">
        <f t="shared" si="0"/>
        <v>NCE4060K TO-252-2</v>
      </c>
      <c r="D9" s="2" t="s">
        <v>31</v>
      </c>
      <c r="E9" s="2" t="s">
        <v>25</v>
      </c>
      <c r="F9" s="2" t="s">
        <v>32</v>
      </c>
      <c r="G9" s="2"/>
      <c r="H9" s="2" t="s">
        <v>33</v>
      </c>
      <c r="I9" s="2"/>
      <c r="J9" s="2"/>
      <c r="K9" s="2"/>
    </row>
    <row r="10" spans="1:11" x14ac:dyDescent="0.25">
      <c r="A10" s="2" t="s">
        <v>34</v>
      </c>
      <c r="B10" s="2" t="s">
        <v>32</v>
      </c>
      <c r="C10" s="2" t="str">
        <f t="shared" si="0"/>
        <v>IRFR1205TR TO-252-2</v>
      </c>
      <c r="D10" s="2" t="s">
        <v>34</v>
      </c>
      <c r="E10" s="2" t="s">
        <v>25</v>
      </c>
      <c r="F10" s="2" t="s">
        <v>32</v>
      </c>
      <c r="G10" s="2"/>
      <c r="H10" s="2" t="s">
        <v>30</v>
      </c>
      <c r="I10" s="2"/>
      <c r="J10" s="2"/>
      <c r="K10" s="2"/>
    </row>
    <row r="11" spans="1:11" x14ac:dyDescent="0.25">
      <c r="A11" s="2" t="s">
        <v>35</v>
      </c>
      <c r="B11" s="2"/>
      <c r="C11" s="2" t="str">
        <f t="shared" si="0"/>
        <v xml:space="preserve">STP24NF10 </v>
      </c>
      <c r="D11" s="2" t="s">
        <v>35</v>
      </c>
      <c r="E11" s="2" t="s">
        <v>25</v>
      </c>
      <c r="F11" s="2" t="s">
        <v>36</v>
      </c>
      <c r="G11" s="2" t="s">
        <v>26</v>
      </c>
      <c r="H11" s="2" t="s">
        <v>37</v>
      </c>
      <c r="I11" s="2"/>
      <c r="J11" s="2"/>
      <c r="K11" s="2"/>
    </row>
    <row r="12" spans="1:11" x14ac:dyDescent="0.25">
      <c r="A12" s="2" t="s">
        <v>55</v>
      </c>
      <c r="B12" s="2" t="s">
        <v>21</v>
      </c>
      <c r="C12" s="2" t="str">
        <f t="shared" si="0"/>
        <v>AO3400 SOT23</v>
      </c>
      <c r="D12" s="2" t="s">
        <v>55</v>
      </c>
      <c r="E12" s="2" t="s">
        <v>17</v>
      </c>
      <c r="F12" s="2" t="s">
        <v>21</v>
      </c>
      <c r="G12" s="2"/>
      <c r="H12" s="2" t="s">
        <v>56</v>
      </c>
      <c r="I12" s="2"/>
      <c r="J12" s="2"/>
      <c r="K12" s="2"/>
    </row>
    <row r="13" spans="1:11" x14ac:dyDescent="0.25">
      <c r="A13" s="2" t="s">
        <v>58</v>
      </c>
      <c r="B13" s="2" t="s">
        <v>59</v>
      </c>
      <c r="C13" s="2" t="str">
        <f t="shared" si="0"/>
        <v>2П795А92 КТ-94</v>
      </c>
      <c r="D13" s="2" t="s">
        <v>58</v>
      </c>
      <c r="E13" s="2" t="s">
        <v>17</v>
      </c>
      <c r="F13" s="2" t="s">
        <v>58</v>
      </c>
      <c r="G13" s="2"/>
      <c r="H13" s="2"/>
      <c r="I13" s="2" t="s">
        <v>60</v>
      </c>
      <c r="J13" s="2"/>
      <c r="K13" s="2"/>
    </row>
    <row r="14" spans="1:11" x14ac:dyDescent="0.25">
      <c r="A14" s="2" t="s">
        <v>62</v>
      </c>
      <c r="B14" s="2" t="s">
        <v>63</v>
      </c>
      <c r="C14" s="2" t="str">
        <f t="shared" si="0"/>
        <v>2П7240ВС9 4320.8-А</v>
      </c>
      <c r="D14" s="2" t="s">
        <v>62</v>
      </c>
      <c r="E14" s="2" t="s">
        <v>11</v>
      </c>
      <c r="F14" s="2" t="s">
        <v>13</v>
      </c>
      <c r="G14" s="2"/>
      <c r="H14" s="2"/>
      <c r="I14" s="2" t="s">
        <v>64</v>
      </c>
      <c r="J14" s="2"/>
      <c r="K14" s="2"/>
    </row>
    <row r="15" spans="1:11" x14ac:dyDescent="0.25">
      <c r="A15" s="2" t="s">
        <v>65</v>
      </c>
      <c r="B15" s="2" t="s">
        <v>66</v>
      </c>
      <c r="C15" s="2" t="str">
        <f t="shared" si="0"/>
        <v>2П767А9 КТ-89</v>
      </c>
      <c r="D15" s="2" t="s">
        <v>65</v>
      </c>
      <c r="E15" s="2" t="s">
        <v>25</v>
      </c>
      <c r="F15" s="2" t="s">
        <v>32</v>
      </c>
      <c r="G15" s="2"/>
      <c r="H15" s="2"/>
      <c r="I15" s="2" t="s">
        <v>27</v>
      </c>
      <c r="J15" s="2"/>
      <c r="K15" s="2"/>
    </row>
    <row r="16" spans="1:11" x14ac:dyDescent="0.25">
      <c r="A16" s="2" t="s">
        <v>73</v>
      </c>
      <c r="B16" s="2" t="s">
        <v>74</v>
      </c>
      <c r="C16" s="2" t="str">
        <f t="shared" si="0"/>
        <v>FCA47N60 TO-3PN</v>
      </c>
      <c r="D16" s="2" t="s">
        <v>73</v>
      </c>
      <c r="E16" s="2" t="s">
        <v>25</v>
      </c>
      <c r="F16" s="2" t="s">
        <v>77</v>
      </c>
      <c r="G16" s="2"/>
      <c r="H16" s="2" t="s">
        <v>10</v>
      </c>
      <c r="I16" s="2"/>
      <c r="J16" s="2"/>
      <c r="K16" s="2"/>
    </row>
    <row r="17" spans="1:11" x14ac:dyDescent="0.25">
      <c r="A17" s="2" t="s">
        <v>76</v>
      </c>
      <c r="B17" s="2" t="s">
        <v>78</v>
      </c>
      <c r="C17" s="2" t="str">
        <f t="shared" si="0"/>
        <v>Si4840BDY SOIC-8</v>
      </c>
      <c r="D17" s="2" t="s">
        <v>76</v>
      </c>
      <c r="E17" s="2" t="s">
        <v>76</v>
      </c>
      <c r="F17" s="2" t="s">
        <v>13</v>
      </c>
      <c r="G17" s="2"/>
      <c r="H17" s="2" t="s">
        <v>22</v>
      </c>
      <c r="I17" s="2"/>
      <c r="J17" s="2"/>
      <c r="K17" s="2"/>
    </row>
    <row r="18" spans="1:11" x14ac:dyDescent="0.25">
      <c r="A18" s="2" t="s">
        <v>80</v>
      </c>
      <c r="B18" s="2" t="s">
        <v>82</v>
      </c>
      <c r="C18" s="2" t="str">
        <f t="shared" si="0"/>
        <v>IRFP450 TO-247</v>
      </c>
      <c r="D18" s="2" t="s">
        <v>80</v>
      </c>
      <c r="E18" s="2" t="s">
        <v>25</v>
      </c>
      <c r="F18" s="2" t="s">
        <v>81</v>
      </c>
      <c r="G18" s="2"/>
      <c r="H18" s="2" t="s">
        <v>22</v>
      </c>
      <c r="I18" s="2"/>
      <c r="J18" s="2"/>
      <c r="K18" s="2"/>
    </row>
    <row r="19" spans="1:11" x14ac:dyDescent="0.25">
      <c r="A19" s="2" t="s">
        <v>92</v>
      </c>
      <c r="B19" s="2" t="s">
        <v>13</v>
      </c>
      <c r="C19" s="2" t="str">
        <f t="shared" si="0"/>
        <v>IRF7380 8-SOIC</v>
      </c>
      <c r="D19" s="2" t="s">
        <v>86</v>
      </c>
      <c r="E19" s="2" t="s">
        <v>85</v>
      </c>
      <c r="F19" s="2" t="s">
        <v>13</v>
      </c>
      <c r="G19" s="2"/>
      <c r="H19" s="2" t="s">
        <v>87</v>
      </c>
      <c r="I19" s="2"/>
      <c r="J19" s="2"/>
    </row>
    <row r="20" spans="1:11" x14ac:dyDescent="0.25">
      <c r="A20" s="2" t="s">
        <v>93</v>
      </c>
      <c r="B20" s="2" t="s">
        <v>32</v>
      </c>
      <c r="C20" s="2" t="str">
        <f t="shared" si="0"/>
        <v>IRFR120NTRPBF TO-252-2</v>
      </c>
      <c r="D20" s="2" t="s">
        <v>93</v>
      </c>
      <c r="E20" s="2" t="s">
        <v>25</v>
      </c>
      <c r="F20" s="2" t="s">
        <v>32</v>
      </c>
      <c r="G20" s="2"/>
      <c r="H20" s="2" t="s">
        <v>87</v>
      </c>
      <c r="I20" s="2"/>
      <c r="J20" s="2"/>
    </row>
    <row r="21" spans="1:11" x14ac:dyDescent="0.25">
      <c r="A21" s="2" t="s">
        <v>95</v>
      </c>
      <c r="B21" s="2" t="s">
        <v>21</v>
      </c>
      <c r="C21" s="2" t="str">
        <f t="shared" si="0"/>
        <v>5N10 SOT23</v>
      </c>
      <c r="D21" s="2" t="s">
        <v>95</v>
      </c>
      <c r="E21" s="2" t="s">
        <v>25</v>
      </c>
      <c r="F21" s="2" t="s">
        <v>21</v>
      </c>
      <c r="G21" s="2"/>
      <c r="H21" s="2" t="s">
        <v>94</v>
      </c>
      <c r="I21" s="2"/>
      <c r="J21" s="2"/>
    </row>
    <row r="22" spans="1:11" x14ac:dyDescent="0.25">
      <c r="A22" s="2" t="s">
        <v>97</v>
      </c>
      <c r="B22" s="2" t="s">
        <v>32</v>
      </c>
      <c r="C22" s="2" t="str">
        <f>_xlfn.CONCAT(D22, " ", B22)</f>
        <v>IRFR220PbF TO-252-2</v>
      </c>
      <c r="D22" s="2" t="s">
        <v>98</v>
      </c>
      <c r="E22" s="2" t="s">
        <v>25</v>
      </c>
      <c r="F22" s="2" t="s">
        <v>32</v>
      </c>
      <c r="G22" s="2"/>
      <c r="H22" s="2" t="s">
        <v>22</v>
      </c>
      <c r="I22" s="2"/>
      <c r="J22" s="2"/>
    </row>
    <row r="23" spans="1:11" x14ac:dyDescent="0.25">
      <c r="A23" s="2" t="s">
        <v>104</v>
      </c>
      <c r="B23" s="2" t="s">
        <v>21</v>
      </c>
      <c r="C23" s="2" t="str">
        <f>_xlfn.CONCAT(D23, " ", B23)</f>
        <v>IRLML2060TRPBF SOT23</v>
      </c>
      <c r="D23" s="2" t="s">
        <v>103</v>
      </c>
      <c r="E23" s="2" t="s">
        <v>17</v>
      </c>
      <c r="F23" s="2" t="s">
        <v>21</v>
      </c>
      <c r="G23" s="2"/>
      <c r="H23" s="2" t="s">
        <v>102</v>
      </c>
      <c r="I23" s="2"/>
      <c r="J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6DDB-75CB-4526-8B7C-3E1D54E638B5}">
  <dimension ref="A1:M22"/>
  <sheetViews>
    <sheetView zoomScaleNormal="100" workbookViewId="0">
      <selection activeCell="C17" sqref="C17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3" x14ac:dyDescent="0.25">
      <c r="A2" s="2" t="s">
        <v>38</v>
      </c>
      <c r="B2" s="2" t="s">
        <v>9</v>
      </c>
      <c r="C2" s="2" t="str">
        <f t="shared" ref="C2:C12" si="0">_xlfn.CONCAT(D2, " ", B2)</f>
        <v>FDC654P SuperSOT6</v>
      </c>
      <c r="D2" s="2" t="s">
        <v>38</v>
      </c>
      <c r="E2" s="2" t="s">
        <v>38</v>
      </c>
      <c r="F2" s="2" t="s">
        <v>9</v>
      </c>
      <c r="G2" s="2" t="s">
        <v>10</v>
      </c>
      <c r="H2" s="2"/>
      <c r="I2" s="2"/>
      <c r="J2" s="2"/>
      <c r="K2" s="2"/>
      <c r="L2" s="2"/>
      <c r="M2" s="2"/>
    </row>
    <row r="3" spans="1:13" x14ac:dyDescent="0.25">
      <c r="A3" s="2" t="s">
        <v>39</v>
      </c>
      <c r="B3" s="2" t="s">
        <v>16</v>
      </c>
      <c r="C3" s="2" t="str">
        <f t="shared" si="0"/>
        <v>BSS84W-7-F SOT-323</v>
      </c>
      <c r="D3" s="2" t="s">
        <v>39</v>
      </c>
      <c r="E3" s="2" t="s">
        <v>40</v>
      </c>
      <c r="F3" s="2" t="s">
        <v>18</v>
      </c>
      <c r="G3" s="2" t="s">
        <v>19</v>
      </c>
      <c r="H3" s="2"/>
      <c r="I3" s="2"/>
      <c r="J3" s="2"/>
      <c r="K3" s="2"/>
      <c r="L3" s="2"/>
      <c r="M3" s="2"/>
    </row>
    <row r="4" spans="1:13" x14ac:dyDescent="0.25">
      <c r="A4" s="2" t="s">
        <v>41</v>
      </c>
      <c r="B4" s="2" t="s">
        <v>21</v>
      </c>
      <c r="C4" s="2" t="str">
        <f t="shared" si="0"/>
        <v>SI2301CDS-T1-GE3 SOT23</v>
      </c>
      <c r="D4" s="2" t="s">
        <v>41</v>
      </c>
      <c r="E4" s="2" t="s">
        <v>40</v>
      </c>
      <c r="F4" s="2" t="s">
        <v>21</v>
      </c>
      <c r="G4" s="2" t="s">
        <v>22</v>
      </c>
      <c r="H4" s="2"/>
      <c r="I4" s="2"/>
      <c r="J4" s="2"/>
      <c r="K4" s="2"/>
      <c r="L4" s="2"/>
      <c r="M4" s="2"/>
    </row>
    <row r="5" spans="1:13" x14ac:dyDescent="0.25">
      <c r="A5" s="2" t="s">
        <v>42</v>
      </c>
      <c r="B5" s="2" t="s">
        <v>21</v>
      </c>
      <c r="C5" s="2" t="str">
        <f t="shared" si="0"/>
        <v>IRLML6402 SOT23</v>
      </c>
      <c r="D5" s="2" t="s">
        <v>42</v>
      </c>
      <c r="E5" s="2" t="s">
        <v>40</v>
      </c>
      <c r="F5" s="2" t="s">
        <v>21</v>
      </c>
      <c r="G5" s="2" t="s">
        <v>30</v>
      </c>
      <c r="H5" s="2"/>
      <c r="I5" s="2"/>
      <c r="J5" s="2"/>
      <c r="K5" s="2"/>
      <c r="L5" s="2"/>
      <c r="M5" s="2"/>
    </row>
    <row r="6" spans="1:13" x14ac:dyDescent="0.25">
      <c r="A6" s="2" t="s">
        <v>43</v>
      </c>
      <c r="B6" s="2" t="s">
        <v>32</v>
      </c>
      <c r="C6" s="2" t="str">
        <f t="shared" si="0"/>
        <v>NCE40P40K TO-252-2</v>
      </c>
      <c r="D6" s="2" t="s">
        <v>43</v>
      </c>
      <c r="E6" s="2" t="s">
        <v>44</v>
      </c>
      <c r="F6" s="2" t="s">
        <v>32</v>
      </c>
      <c r="G6" s="2" t="s">
        <v>33</v>
      </c>
      <c r="H6" s="2"/>
      <c r="I6" s="2"/>
      <c r="J6" s="2"/>
      <c r="K6" s="2"/>
      <c r="L6" s="2"/>
      <c r="M6" s="2"/>
    </row>
    <row r="7" spans="1:13" x14ac:dyDescent="0.25">
      <c r="A7" s="2" t="s">
        <v>45</v>
      </c>
      <c r="B7" s="2" t="s">
        <v>32</v>
      </c>
      <c r="C7" s="2" t="str">
        <f t="shared" si="0"/>
        <v>FDD6685 TO-252-2</v>
      </c>
      <c r="D7" s="2" t="s">
        <v>45</v>
      </c>
      <c r="E7" s="2" t="s">
        <v>44</v>
      </c>
      <c r="F7" s="2" t="s">
        <v>32</v>
      </c>
      <c r="G7" s="2" t="s">
        <v>30</v>
      </c>
      <c r="H7" s="2"/>
      <c r="I7" s="2"/>
      <c r="J7" s="2"/>
      <c r="K7" s="2"/>
      <c r="L7" s="2"/>
      <c r="M7" s="2"/>
    </row>
    <row r="8" spans="1:13" x14ac:dyDescent="0.25">
      <c r="A8" s="2" t="s">
        <v>46</v>
      </c>
      <c r="B8" s="2" t="s">
        <v>32</v>
      </c>
      <c r="C8" s="2" t="str">
        <f t="shared" si="0"/>
        <v>AOD403 TO-252-2</v>
      </c>
      <c r="D8" s="2" t="s">
        <v>46</v>
      </c>
      <c r="E8" s="2" t="s">
        <v>44</v>
      </c>
      <c r="F8" s="2" t="s">
        <v>32</v>
      </c>
      <c r="G8" s="2" t="s">
        <v>30</v>
      </c>
      <c r="H8" s="2"/>
      <c r="I8" s="2"/>
      <c r="J8" s="2"/>
      <c r="K8" s="2"/>
      <c r="L8" s="2"/>
      <c r="M8" s="2"/>
    </row>
    <row r="9" spans="1:13" x14ac:dyDescent="0.25">
      <c r="A9" s="2" t="s">
        <v>57</v>
      </c>
      <c r="B9" s="2" t="s">
        <v>21</v>
      </c>
      <c r="C9" s="2" t="str">
        <f t="shared" si="0"/>
        <v>AO3401A SOT23</v>
      </c>
      <c r="D9" s="2" t="s">
        <v>57</v>
      </c>
      <c r="E9" s="2" t="s">
        <v>40</v>
      </c>
      <c r="F9" s="2" t="s">
        <v>21</v>
      </c>
      <c r="G9" s="2" t="s">
        <v>30</v>
      </c>
      <c r="H9" s="2"/>
      <c r="I9" s="2"/>
      <c r="J9" s="2"/>
      <c r="K9" s="2"/>
      <c r="L9" s="2"/>
      <c r="M9" s="2"/>
    </row>
    <row r="10" spans="1:13" x14ac:dyDescent="0.25">
      <c r="A10" s="2" t="s">
        <v>61</v>
      </c>
      <c r="B10" s="2" t="s">
        <v>63</v>
      </c>
      <c r="C10" s="2" t="str">
        <f t="shared" si="0"/>
        <v>2П7241ВС9 4320.8-А</v>
      </c>
      <c r="D10" s="2" t="s">
        <v>61</v>
      </c>
      <c r="E10" s="2" t="s">
        <v>61</v>
      </c>
      <c r="F10" s="2" t="s">
        <v>13</v>
      </c>
      <c r="G10" s="2"/>
      <c r="H10" s="2" t="s">
        <v>64</v>
      </c>
      <c r="I10" s="2"/>
      <c r="J10" s="2"/>
      <c r="K10" s="2"/>
      <c r="L10" s="2"/>
      <c r="M10" s="2"/>
    </row>
    <row r="11" spans="1:13" x14ac:dyDescent="0.25">
      <c r="A11" s="2" t="s">
        <v>88</v>
      </c>
      <c r="B11" s="2" t="s">
        <v>89</v>
      </c>
      <c r="C11" s="2" t="str">
        <f t="shared" si="0"/>
        <v>WMT04N10TS SOT223</v>
      </c>
      <c r="D11" s="2" t="s">
        <v>88</v>
      </c>
      <c r="E11" s="2" t="s">
        <v>91</v>
      </c>
      <c r="F11" s="2" t="s">
        <v>89</v>
      </c>
      <c r="G11" s="2" t="s">
        <v>90</v>
      </c>
      <c r="H11" s="2"/>
      <c r="I11" s="2"/>
      <c r="J11" s="2"/>
      <c r="K11" s="2"/>
      <c r="L11" s="2"/>
      <c r="M11" s="2"/>
    </row>
    <row r="12" spans="1:13" x14ac:dyDescent="0.25">
      <c r="A12" s="2" t="s">
        <v>96</v>
      </c>
      <c r="B12" s="2" t="s">
        <v>32</v>
      </c>
      <c r="C12" s="2" t="str">
        <f t="shared" si="0"/>
        <v>IRFR9120 TO-252-2</v>
      </c>
      <c r="D12" s="2" t="s">
        <v>96</v>
      </c>
      <c r="E12" s="2" t="s">
        <v>44</v>
      </c>
      <c r="F12" s="2" t="s">
        <v>32</v>
      </c>
      <c r="G12" s="2" t="s">
        <v>22</v>
      </c>
      <c r="H12" s="2"/>
      <c r="I12" s="2"/>
      <c r="J12" s="2"/>
      <c r="K12" s="2"/>
      <c r="L12" s="2"/>
      <c r="M12" s="2"/>
    </row>
    <row r="13" spans="1:13" x14ac:dyDescent="0.25">
      <c r="A13" t="s">
        <v>99</v>
      </c>
      <c r="B13" s="2" t="s">
        <v>13</v>
      </c>
      <c r="C13" s="2" t="str">
        <f>_xlfn.CONCAT(D13, " ", B13)</f>
        <v>NDS9948 8-SOIC</v>
      </c>
      <c r="D13" t="s">
        <v>99</v>
      </c>
      <c r="E13" s="2" t="s">
        <v>99</v>
      </c>
      <c r="F13" s="2" t="s">
        <v>13</v>
      </c>
      <c r="G13" s="2" t="s">
        <v>100</v>
      </c>
      <c r="H13" s="2"/>
      <c r="I13" s="2"/>
      <c r="J13" s="2"/>
      <c r="K13" s="2"/>
      <c r="L13" s="2"/>
      <c r="M13" s="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42F99-7B21-453C-995C-4446AFFB9290}">
  <dimension ref="A1:H5"/>
  <sheetViews>
    <sheetView zoomScaleNormal="100" workbookViewId="0">
      <selection activeCell="C13" sqref="C13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4" t="s">
        <v>47</v>
      </c>
      <c r="B2" s="2" t="s">
        <v>21</v>
      </c>
      <c r="C2" s="4" t="s">
        <v>48</v>
      </c>
      <c r="D2" s="4" t="s">
        <v>49</v>
      </c>
      <c r="E2" s="2" t="s">
        <v>50</v>
      </c>
      <c r="F2" s="2" t="s">
        <v>21</v>
      </c>
      <c r="G2" s="2" t="s">
        <v>51</v>
      </c>
    </row>
    <row r="3" spans="1:8" x14ac:dyDescent="0.25">
      <c r="A3" t="s">
        <v>68</v>
      </c>
      <c r="B3" t="s">
        <v>69</v>
      </c>
      <c r="C3" t="s">
        <v>79</v>
      </c>
      <c r="D3" t="s">
        <v>68</v>
      </c>
      <c r="E3" t="s">
        <v>67</v>
      </c>
      <c r="F3" t="s">
        <v>68</v>
      </c>
      <c r="H3" t="s">
        <v>70</v>
      </c>
    </row>
    <row r="4" spans="1:8" x14ac:dyDescent="0.25">
      <c r="A4" t="s">
        <v>83</v>
      </c>
      <c r="B4" t="s">
        <v>82</v>
      </c>
      <c r="C4" t="s">
        <v>84</v>
      </c>
      <c r="D4" t="s">
        <v>83</v>
      </c>
      <c r="E4" t="s">
        <v>67</v>
      </c>
      <c r="F4" t="s">
        <v>81</v>
      </c>
      <c r="G4" t="s">
        <v>100</v>
      </c>
    </row>
    <row r="5" spans="1:8" x14ac:dyDescent="0.25">
      <c r="A5" t="s">
        <v>101</v>
      </c>
      <c r="B5" t="s">
        <v>82</v>
      </c>
      <c r="C5" t="str">
        <f>_xlfn.CONCAT(D5, " ", B5)</f>
        <v>FGH60N60SMD TO-247</v>
      </c>
      <c r="D5" t="s">
        <v>101</v>
      </c>
      <c r="E5" t="s">
        <v>67</v>
      </c>
      <c r="F5" t="s">
        <v>81</v>
      </c>
      <c r="G5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3"/>
  <sheetViews>
    <sheetView zoomScaleNormal="100" workbookViewId="0"/>
  </sheetViews>
  <sheetFormatPr defaultColWidth="8.85546875" defaultRowHeight="15" x14ac:dyDescent="0.25"/>
  <cols>
    <col min="1" max="2" width="20.85546875" customWidth="1"/>
    <col min="3" max="3" width="25.85546875" customWidth="1"/>
    <col min="4" max="9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4" t="s">
        <v>52</v>
      </c>
      <c r="B2" s="2" t="s">
        <v>21</v>
      </c>
      <c r="C2" s="4" t="s">
        <v>53</v>
      </c>
      <c r="D2" s="4" t="s">
        <v>52</v>
      </c>
      <c r="E2" s="2" t="s">
        <v>54</v>
      </c>
      <c r="F2" s="2" t="s">
        <v>21</v>
      </c>
      <c r="G2" s="3" t="s">
        <v>30</v>
      </c>
    </row>
    <row r="3" spans="1:8" x14ac:dyDescent="0.25">
      <c r="A3" t="s">
        <v>71</v>
      </c>
      <c r="B3" s="2" t="s">
        <v>21</v>
      </c>
      <c r="C3" t="s">
        <v>72</v>
      </c>
      <c r="D3" t="s">
        <v>71</v>
      </c>
      <c r="E3" t="s">
        <v>54</v>
      </c>
      <c r="F3" s="2" t="s">
        <v>21</v>
      </c>
      <c r="G3" s="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nmos</vt:lpstr>
      <vt:lpstr>pmos</vt:lpstr>
      <vt:lpstr>npn</vt:lpstr>
      <vt:lpstr>pnp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2026-08-10T09:21:15Z</dcterms:modified>
</cp:coreProperties>
</file>