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elem_altium_db2\library\"/>
    </mc:Choice>
  </mc:AlternateContent>
  <xr:revisionPtr revIDLastSave="0" documentId="13_ncr:1_{C8CC1AE4-63CF-4A38-A214-E32AC6ED9382}" xr6:coauthVersionLast="47" xr6:coauthVersionMax="47" xr10:uidLastSave="{00000000-0000-0000-0000-000000000000}"/>
  <bookViews>
    <workbookView xWindow="28680" yWindow="-120" windowWidth="29040" windowHeight="15840" xr2:uid="{EE2E7F00-6B54-4C0B-98D7-835E87062BAF}"/>
  </bookViews>
  <sheets>
    <sheet name="can" sheetId="1" r:id="rId1"/>
    <sheet name="ethernet" sheetId="2" r:id="rId2"/>
    <sheet name="mkio" sheetId="3" r:id="rId3"/>
    <sheet name="rs" sheetId="4" r:id="rId4"/>
    <sheet name="us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</calcChain>
</file>

<file path=xl/sharedStrings.xml><?xml version="1.0" encoding="utf-8"?>
<sst xmlns="http://schemas.openxmlformats.org/spreadsheetml/2006/main" count="187" uniqueCount="93">
  <si>
    <t>Part Number</t>
  </si>
  <si>
    <t>Size</t>
  </si>
  <si>
    <t>Part Number Ru</t>
  </si>
  <si>
    <t>Part Number En</t>
  </si>
  <si>
    <t>Library Ref</t>
  </si>
  <si>
    <t>Footprint Ref</t>
  </si>
  <si>
    <t>Manufacturer</t>
  </si>
  <si>
    <t>TU</t>
  </si>
  <si>
    <t>Texas Instruments</t>
  </si>
  <si>
    <t>SOIC-8</t>
  </si>
  <si>
    <t>8-SOIC</t>
  </si>
  <si>
    <t>Н16.48-1В</t>
  </si>
  <si>
    <t>32-LQFP</t>
  </si>
  <si>
    <t>32-QFN (5x5)</t>
  </si>
  <si>
    <t>8-SO (200 mill)</t>
  </si>
  <si>
    <t>5559ИН14АУ</t>
  </si>
  <si>
    <t>Н02.8-1В</t>
  </si>
  <si>
    <t>5559ИН14</t>
  </si>
  <si>
    <t>АЕЯР.431230.652ТУ</t>
  </si>
  <si>
    <t>YT8512H</t>
  </si>
  <si>
    <t>QFN-32</t>
  </si>
  <si>
    <t>YT8512H QFN-32</t>
  </si>
  <si>
    <t>Motorcomm</t>
  </si>
  <si>
    <t>SN65HVD232D</t>
  </si>
  <si>
    <t>SN65HVD23x</t>
  </si>
  <si>
    <t>TCAN1051VDQ1</t>
  </si>
  <si>
    <t>TCAN1051</t>
  </si>
  <si>
    <t>TPT1051V-SO1R</t>
  </si>
  <si>
    <t>SOP-8</t>
  </si>
  <si>
    <t>TPT1051</t>
  </si>
  <si>
    <t>3PEAK</t>
  </si>
  <si>
    <t>5559ИН13У1</t>
  </si>
  <si>
    <t>Н04.16-1В</t>
  </si>
  <si>
    <t>5559ИН13У1 H04.16-1B</t>
  </si>
  <si>
    <t>5559ИН13У1/2</t>
  </si>
  <si>
    <t>АЕЯР.431230.591ТУ</t>
  </si>
  <si>
    <t>5559ИН13У2</t>
  </si>
  <si>
    <t>5559ИН13У2 H04.16-1B</t>
  </si>
  <si>
    <t>Н1582ВЖ3Б-0290</t>
  </si>
  <si>
    <t>Н16.48-2В</t>
  </si>
  <si>
    <t>Н1582ВЖ3Б-0290 Н16.48-2В</t>
  </si>
  <si>
    <t>Н1582ВЖ3Б</t>
  </si>
  <si>
    <t>ИРВЖ.431262.071-008ТУ</t>
  </si>
  <si>
    <t>5559ИН5ТБП</t>
  </si>
  <si>
    <t>4112.8-1</t>
  </si>
  <si>
    <t>5559ИН5ТБП 4112.8-1.01</t>
  </si>
  <si>
    <t>АЕЯР.431230.479ТУ</t>
  </si>
  <si>
    <t>ISO3086DW</t>
  </si>
  <si>
    <t>SOIC-16W</t>
  </si>
  <si>
    <t>ISO3086DW SOIC-16W</t>
  </si>
  <si>
    <t>ISO3086</t>
  </si>
  <si>
    <t>16-SOIC (W)</t>
  </si>
  <si>
    <t>ISO3088DW</t>
  </si>
  <si>
    <t>ISO3088DW SOIC-16W</t>
  </si>
  <si>
    <t>ISO3088</t>
  </si>
  <si>
    <t>К5559ИН10БSI</t>
  </si>
  <si>
    <t>5559ИН10БSI SO-8</t>
  </si>
  <si>
    <t>5559ИН10БSI</t>
  </si>
  <si>
    <t>RS-485</t>
  </si>
  <si>
    <t>АЕЯР.431230.645ТУ</t>
  </si>
  <si>
    <t>5559ИН10БУ</t>
  </si>
  <si>
    <t>5559ИН10БУ Н02.8-1В</t>
  </si>
  <si>
    <t>5559ИН2АТ</t>
  </si>
  <si>
    <t>5559ИН2АТ 4112.8-1.01</t>
  </si>
  <si>
    <t>АЕЯР.431230.284ТУ</t>
  </si>
  <si>
    <t>ОСМ 5559ИН2АТ</t>
  </si>
  <si>
    <t>4112.8-1.01</t>
  </si>
  <si>
    <t>ОСМ 5559ИН2АТ 4112.8-1.01</t>
  </si>
  <si>
    <t>АЕЯР.431230.284ТУ, РД В 22.02.218</t>
  </si>
  <si>
    <t>ADM3485EARZ</t>
  </si>
  <si>
    <t>ADM3485EARZ SOP-8</t>
  </si>
  <si>
    <t>UMW</t>
  </si>
  <si>
    <t>CP2102N-A01-GQFN28</t>
  </si>
  <si>
    <t>QFN-28</t>
  </si>
  <si>
    <t>CP2102N-A01-GQFN28 QFN-28</t>
  </si>
  <si>
    <t>CP2102N-QFN28</t>
  </si>
  <si>
    <t>28-QFN (5x5)</t>
  </si>
  <si>
    <t>Silicon Laboratories</t>
  </si>
  <si>
    <t>FT230XS-R</t>
  </si>
  <si>
    <t>16-SSOP</t>
  </si>
  <si>
    <t>FT230X</t>
  </si>
  <si>
    <t>FTDI Chip</t>
  </si>
  <si>
    <t>TUSB2036VF</t>
  </si>
  <si>
    <t>LQFP-32</t>
  </si>
  <si>
    <t>TUSB2036VF LQFP-32</t>
  </si>
  <si>
    <t>TUSB2036</t>
  </si>
  <si>
    <t>ISO1050DW</t>
  </si>
  <si>
    <t>ISO1050</t>
  </si>
  <si>
    <t>SSOP-16</t>
  </si>
  <si>
    <t>FT230XS-R SSOP-16</t>
  </si>
  <si>
    <t>ISO1050DUBR</t>
  </si>
  <si>
    <t>8-LSOP</t>
  </si>
  <si>
    <t>ISO1050_8-LSOP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</si>
</sst>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49" fontId="1" fillId="2" borderId="0" xfId="1" applyNumberFormat="1" applyBorder="1" applyAlignment="1" applyProtection="1"/>
    <xf numFmtId="49" fontId="0" fillId="0" borderId="0" xfId="0" applyNumberFormat="1"/>
  </cellXfs>
  <cellStyles count="2">
    <cellStyle name="Accent 3 2" xfId="1" xr:uid="{07D6D35A-A25D-4183-ACA2-756DA14CBAEA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1D6E-5D55-4C0C-9FE7-A86F937C6875}">
  <dimension ref="A1:H8"/>
  <sheetViews>
    <sheetView tabSelected="1" zoomScaleNormal="100" workbookViewId="0">
      <selection activeCell="E11" sqref="E11"/>
    </sheetView>
  </sheetViews>
  <sheetFormatPr defaultColWidth="8.85546875" defaultRowHeight="15" x14ac:dyDescent="0.25"/>
  <cols>
    <col min="1" max="2" width="20.85546875" customWidth="1"/>
    <col min="3" max="3" width="25.85546875" customWidth="1"/>
    <col min="4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</v>
      </c>
      <c r="B2" t="s">
        <v>16</v>
      </c>
      <c r="C2" t="str">
        <f t="shared" ref="C2:C7" si="0">_xlfn.CONCAT(D2, " ", B2)</f>
        <v>5559ИН14АУ Н02.8-1В</v>
      </c>
      <c r="D2" t="s">
        <v>15</v>
      </c>
      <c r="E2" t="s">
        <v>17</v>
      </c>
      <c r="F2" s="2" t="s">
        <v>16</v>
      </c>
      <c r="H2" t="s">
        <v>18</v>
      </c>
    </row>
    <row r="3" spans="1:8" x14ac:dyDescent="0.25">
      <c r="A3" s="2" t="s">
        <v>19</v>
      </c>
      <c r="B3" t="s">
        <v>20</v>
      </c>
      <c r="C3" t="str">
        <f t="shared" si="0"/>
        <v>YT8512H QFN-32</v>
      </c>
      <c r="D3" s="2" t="s">
        <v>19</v>
      </c>
      <c r="E3" s="2" t="s">
        <v>19</v>
      </c>
      <c r="F3" s="2" t="s">
        <v>13</v>
      </c>
      <c r="G3" t="s">
        <v>22</v>
      </c>
    </row>
    <row r="4" spans="1:8" x14ac:dyDescent="0.25">
      <c r="A4" t="s">
        <v>23</v>
      </c>
      <c r="B4" t="s">
        <v>9</v>
      </c>
      <c r="C4" t="str">
        <f t="shared" si="0"/>
        <v>SN65HVD232D SOIC-8</v>
      </c>
      <c r="D4" t="s">
        <v>23</v>
      </c>
      <c r="E4" t="s">
        <v>24</v>
      </c>
      <c r="F4" s="2" t="s">
        <v>10</v>
      </c>
      <c r="G4" t="s">
        <v>8</v>
      </c>
    </row>
    <row r="5" spans="1:8" x14ac:dyDescent="0.25">
      <c r="A5" t="s">
        <v>25</v>
      </c>
      <c r="B5" t="s">
        <v>9</v>
      </c>
      <c r="C5" t="str">
        <f t="shared" si="0"/>
        <v>TCAN1051VDQ1 SOIC-8</v>
      </c>
      <c r="D5" t="s">
        <v>25</v>
      </c>
      <c r="E5" t="s">
        <v>26</v>
      </c>
      <c r="F5" s="2" t="s">
        <v>10</v>
      </c>
      <c r="G5" t="s">
        <v>8</v>
      </c>
    </row>
    <row r="6" spans="1:8" x14ac:dyDescent="0.25">
      <c r="A6" t="s">
        <v>27</v>
      </c>
      <c r="B6" t="s">
        <v>28</v>
      </c>
      <c r="C6" t="str">
        <f t="shared" si="0"/>
        <v>TPT1051V-SO1R SOP-8</v>
      </c>
      <c r="D6" t="s">
        <v>27</v>
      </c>
      <c r="E6" t="s">
        <v>29</v>
      </c>
      <c r="F6" s="2" t="s">
        <v>10</v>
      </c>
      <c r="G6" t="s">
        <v>30</v>
      </c>
    </row>
    <row r="7" spans="1:8" x14ac:dyDescent="0.25">
      <c r="A7" t="s">
        <v>86</v>
      </c>
      <c r="B7" t="s">
        <v>48</v>
      </c>
      <c r="C7" t="str">
        <f t="shared" si="0"/>
        <v>ISO1050DW SOIC-16W</v>
      </c>
      <c r="D7" t="s">
        <v>86</v>
      </c>
      <c r="E7" t="s">
        <v>87</v>
      </c>
      <c r="F7" s="2" t="s">
        <v>51</v>
      </c>
      <c r="G7" t="s">
        <v>8</v>
      </c>
    </row>
    <row r="8" spans="1:8" x14ac:dyDescent="0.25">
      <c r="A8" t="s">
        <v>90</v>
      </c>
      <c r="B8" t="s">
        <v>91</v>
      </c>
      <c r="C8" t="str">
        <f>_xlfn.CONCAT(D8, " ", B8)</f>
        <v>ISO1050DUBR 8-LSOP</v>
      </c>
      <c r="D8" t="s">
        <v>90</v>
      </c>
      <c r="E8" t="s">
        <v>92</v>
      </c>
      <c r="F8" t="s">
        <v>91</v>
      </c>
      <c r="G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4B2D-3CFC-49B2-A2B4-67F2231F306F}">
  <dimension ref="A1:H2"/>
  <sheetViews>
    <sheetView zoomScale="140" zoomScaleNormal="140" workbookViewId="0"/>
  </sheetViews>
  <sheetFormatPr defaultColWidth="8.85546875" defaultRowHeight="15" x14ac:dyDescent="0.25"/>
  <cols>
    <col min="1" max="2" width="20.85546875" customWidth="1"/>
    <col min="3" max="3" width="25.85546875" customWidth="1"/>
    <col min="4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19</v>
      </c>
      <c r="B2" t="s">
        <v>20</v>
      </c>
      <c r="C2" s="2" t="s">
        <v>21</v>
      </c>
      <c r="D2" s="2" t="s">
        <v>19</v>
      </c>
      <c r="E2" s="2" t="s">
        <v>19</v>
      </c>
      <c r="F2" s="2" t="s">
        <v>13</v>
      </c>
      <c r="G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8C3D-D832-496B-AB92-259D2AD291EC}">
  <dimension ref="A1:H4"/>
  <sheetViews>
    <sheetView zoomScale="140" zoomScaleNormal="140" workbookViewId="0"/>
  </sheetViews>
  <sheetFormatPr defaultColWidth="8.85546875" defaultRowHeight="15" x14ac:dyDescent="0.25"/>
  <cols>
    <col min="1" max="2" width="20.85546875" customWidth="1"/>
    <col min="3" max="3" width="25.85546875" customWidth="1"/>
    <col min="4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31</v>
      </c>
      <c r="B2" t="s">
        <v>32</v>
      </c>
      <c r="C2" t="s">
        <v>33</v>
      </c>
      <c r="D2" t="s">
        <v>31</v>
      </c>
      <c r="E2" t="s">
        <v>34</v>
      </c>
      <c r="F2" s="2" t="s">
        <v>32</v>
      </c>
      <c r="G2" s="2"/>
      <c r="H2" t="s">
        <v>35</v>
      </c>
    </row>
    <row r="3" spans="1:8" x14ac:dyDescent="0.25">
      <c r="A3" t="s">
        <v>36</v>
      </c>
      <c r="B3" t="s">
        <v>32</v>
      </c>
      <c r="C3" t="s">
        <v>37</v>
      </c>
      <c r="D3" t="s">
        <v>36</v>
      </c>
      <c r="E3" t="s">
        <v>34</v>
      </c>
      <c r="F3" s="2" t="s">
        <v>32</v>
      </c>
      <c r="H3" t="s">
        <v>35</v>
      </c>
    </row>
    <row r="4" spans="1:8" x14ac:dyDescent="0.25">
      <c r="A4" t="s">
        <v>38</v>
      </c>
      <c r="B4" t="s">
        <v>39</v>
      </c>
      <c r="C4" t="s">
        <v>40</v>
      </c>
      <c r="D4" t="s">
        <v>38</v>
      </c>
      <c r="E4" t="s">
        <v>41</v>
      </c>
      <c r="F4" s="2" t="s">
        <v>11</v>
      </c>
      <c r="H4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1208-6905-41A5-8CDA-45891F714057}">
  <dimension ref="A1:H9"/>
  <sheetViews>
    <sheetView zoomScale="140" zoomScaleNormal="140" workbookViewId="0"/>
  </sheetViews>
  <sheetFormatPr defaultColWidth="8.85546875" defaultRowHeight="15" x14ac:dyDescent="0.25"/>
  <cols>
    <col min="1" max="2" width="20.85546875" customWidth="1"/>
    <col min="3" max="3" width="25.85546875" customWidth="1"/>
    <col min="4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43</v>
      </c>
      <c r="B2" t="s">
        <v>44</v>
      </c>
      <c r="C2" t="s">
        <v>45</v>
      </c>
      <c r="D2" t="s">
        <v>43</v>
      </c>
      <c r="E2" t="s">
        <v>43</v>
      </c>
      <c r="F2" s="2" t="s">
        <v>44</v>
      </c>
      <c r="H2" t="s">
        <v>46</v>
      </c>
    </row>
    <row r="3" spans="1:8" x14ac:dyDescent="0.25">
      <c r="A3" t="s">
        <v>47</v>
      </c>
      <c r="B3" t="s">
        <v>48</v>
      </c>
      <c r="C3" t="s">
        <v>49</v>
      </c>
      <c r="D3" t="s">
        <v>47</v>
      </c>
      <c r="E3" t="s">
        <v>50</v>
      </c>
      <c r="F3" s="2" t="s">
        <v>51</v>
      </c>
      <c r="G3" t="s">
        <v>8</v>
      </c>
    </row>
    <row r="4" spans="1:8" x14ac:dyDescent="0.25">
      <c r="A4" t="s">
        <v>52</v>
      </c>
      <c r="B4" t="s">
        <v>48</v>
      </c>
      <c r="C4" t="s">
        <v>53</v>
      </c>
      <c r="D4" t="s">
        <v>52</v>
      </c>
      <c r="E4" t="s">
        <v>54</v>
      </c>
      <c r="F4" s="2" t="s">
        <v>51</v>
      </c>
      <c r="G4" t="s">
        <v>8</v>
      </c>
    </row>
    <row r="5" spans="1:8" x14ac:dyDescent="0.25">
      <c r="A5" t="s">
        <v>55</v>
      </c>
      <c r="B5" t="s">
        <v>9</v>
      </c>
      <c r="C5" t="s">
        <v>56</v>
      </c>
      <c r="D5" t="s">
        <v>57</v>
      </c>
      <c r="E5" t="s">
        <v>58</v>
      </c>
      <c r="F5" s="2" t="s">
        <v>14</v>
      </c>
      <c r="G5" s="2"/>
      <c r="H5" t="s">
        <v>59</v>
      </c>
    </row>
    <row r="6" spans="1:8" ht="12.75" customHeight="1" x14ac:dyDescent="0.25">
      <c r="A6" t="s">
        <v>60</v>
      </c>
      <c r="B6" t="s">
        <v>16</v>
      </c>
      <c r="C6" t="s">
        <v>61</v>
      </c>
      <c r="D6" t="s">
        <v>60</v>
      </c>
      <c r="E6" t="s">
        <v>58</v>
      </c>
      <c r="F6" s="2" t="s">
        <v>16</v>
      </c>
      <c r="G6" s="2"/>
      <c r="H6" t="s">
        <v>59</v>
      </c>
    </row>
    <row r="7" spans="1:8" ht="12.75" customHeight="1" x14ac:dyDescent="0.25">
      <c r="A7" t="s">
        <v>62</v>
      </c>
      <c r="B7" t="s">
        <v>44</v>
      </c>
      <c r="C7" t="s">
        <v>63</v>
      </c>
      <c r="D7" t="s">
        <v>62</v>
      </c>
      <c r="E7" t="s">
        <v>58</v>
      </c>
      <c r="F7" s="2" t="s">
        <v>44</v>
      </c>
      <c r="H7" t="s">
        <v>64</v>
      </c>
    </row>
    <row r="8" spans="1:8" ht="12.75" customHeight="1" x14ac:dyDescent="0.25">
      <c r="A8" t="s">
        <v>65</v>
      </c>
      <c r="B8" t="s">
        <v>66</v>
      </c>
      <c r="C8" t="s">
        <v>67</v>
      </c>
      <c r="D8" t="s">
        <v>65</v>
      </c>
      <c r="E8" t="s">
        <v>58</v>
      </c>
      <c r="F8" s="2" t="s">
        <v>44</v>
      </c>
      <c r="H8" t="s">
        <v>68</v>
      </c>
    </row>
    <row r="9" spans="1:8" x14ac:dyDescent="0.25">
      <c r="A9" t="s">
        <v>69</v>
      </c>
      <c r="B9" t="s">
        <v>28</v>
      </c>
      <c r="C9" t="s">
        <v>70</v>
      </c>
      <c r="D9" t="s">
        <v>69</v>
      </c>
      <c r="E9" t="s">
        <v>58</v>
      </c>
      <c r="F9" s="2" t="s">
        <v>10</v>
      </c>
      <c r="G9" s="2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17BF-F161-418A-9B8F-87A18459EBCD}">
  <dimension ref="A1:H4"/>
  <sheetViews>
    <sheetView zoomScaleNormal="100" workbookViewId="0"/>
  </sheetViews>
  <sheetFormatPr defaultColWidth="8.85546875" defaultRowHeight="15" x14ac:dyDescent="0.25"/>
  <cols>
    <col min="1" max="2" width="20.85546875" customWidth="1"/>
    <col min="3" max="3" width="25.85546875" customWidth="1"/>
    <col min="4" max="8" width="20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72</v>
      </c>
      <c r="B2" t="s">
        <v>73</v>
      </c>
      <c r="C2" t="s">
        <v>74</v>
      </c>
      <c r="D2" t="s">
        <v>72</v>
      </c>
      <c r="E2" t="s">
        <v>75</v>
      </c>
      <c r="F2" s="2" t="s">
        <v>76</v>
      </c>
      <c r="G2" t="s">
        <v>77</v>
      </c>
    </row>
    <row r="3" spans="1:8" x14ac:dyDescent="0.25">
      <c r="A3" s="2" t="s">
        <v>78</v>
      </c>
      <c r="B3" t="s">
        <v>88</v>
      </c>
      <c r="C3" t="s">
        <v>89</v>
      </c>
      <c r="D3" t="s">
        <v>78</v>
      </c>
      <c r="E3" t="s">
        <v>80</v>
      </c>
      <c r="F3" s="2" t="s">
        <v>79</v>
      </c>
      <c r="G3" t="s">
        <v>81</v>
      </c>
    </row>
    <row r="4" spans="1:8" x14ac:dyDescent="0.25">
      <c r="A4" t="s">
        <v>82</v>
      </c>
      <c r="B4" t="s">
        <v>83</v>
      </c>
      <c r="C4" t="s">
        <v>84</v>
      </c>
      <c r="D4" t="s">
        <v>82</v>
      </c>
      <c r="E4" t="s">
        <v>85</v>
      </c>
      <c r="F4" s="2" t="s">
        <v>12</v>
      </c>
      <c r="G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can</vt:lpstr>
      <vt:lpstr>ethernet</vt:lpstr>
      <vt:lpstr>mkio</vt:lpstr>
      <vt:lpstr>rs</vt:lpstr>
      <vt:lpstr>usb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garou</dc:creator>
  <cp:lastModifiedBy>10195</cp:lastModifiedBy>
  <dcterms:created xsi:type="dcterms:W3CDTF">2025-04-25T10:51:26Z</dcterms:created>
  <dcterms:modified xsi:type="dcterms:W3CDTF">2026-06-30T07:22:43Z</dcterms:modified>
</cp:coreProperties>
</file>