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\elem_altium_db2\library\"/>
    </mc:Choice>
  </mc:AlternateContent>
  <xr:revisionPtr revIDLastSave="0" documentId="13_ncr:1_{9099BC82-C472-4DB6-80E0-8D8C74DD44C8}" xr6:coauthVersionLast="47" xr6:coauthVersionMax="47" xr10:uidLastSave="{00000000-0000-0000-0000-000000000000}"/>
  <bookViews>
    <workbookView xWindow="-120" yWindow="-120" windowWidth="29040" windowHeight="15720" activeTab="5" xr2:uid="{EE2E7F00-6B54-4C0B-98D7-835E87062BAF}"/>
  </bookViews>
  <sheets>
    <sheet name="clock" sheetId="1" r:id="rId1"/>
    <sheet name="logic" sheetId="2" r:id="rId2"/>
    <sheet name="mcu" sheetId="3" r:id="rId3"/>
    <sheet name="mcu_milandr" sheetId="4" r:id="rId4"/>
    <sheet name="memory" sheetId="5" r:id="rId5"/>
    <sheet name="misc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" i="9" l="1"/>
</calcChain>
</file>

<file path=xl/sharedStrings.xml><?xml version="1.0" encoding="utf-8"?>
<sst xmlns="http://schemas.openxmlformats.org/spreadsheetml/2006/main" count="381" uniqueCount="200">
  <si>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</si>
  <si>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</si>
  <si>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</si>
  <si>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</si>
  <si>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</si>
  <si>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</si>
  <si>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</si>
  <si>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</si>
  <si>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LQFP-48</t>
  </si>
  <si>
    <t>48-LQFP</t>
  </si>
  <si>
    <t>Texas Instruments</t>
  </si>
  <si>
    <t>SOIC-8</t>
  </si>
  <si>
    <t>8-SOIC</t>
  </si>
  <si>
    <t>64-LQFP</t>
  </si>
  <si>
    <t>Н16.48-1В</t>
  </si>
  <si>
    <t>MSOP-10</t>
  </si>
  <si>
    <t>10-MSOP</t>
  </si>
  <si>
    <t>TSSOP-14</t>
  </si>
  <si>
    <t>SOT23-5</t>
  </si>
  <si>
    <t>Microchip</t>
  </si>
  <si>
    <t>74ACT74MTC</t>
  </si>
  <si>
    <t>14-TSSOP</t>
  </si>
  <si>
    <t>74ACT04MTC</t>
  </si>
  <si>
    <t>74ACT04MTC TSSOP-14</t>
  </si>
  <si>
    <t>MS5351M</t>
  </si>
  <si>
    <t>MS5351M MSOP-10</t>
  </si>
  <si>
    <t>Ruimeng</t>
  </si>
  <si>
    <t>ECS-3953M-400-BN-TR</t>
  </si>
  <si>
    <t>Electronic Cleaning Solutions</t>
  </si>
  <si>
    <t>525-01RILF</t>
  </si>
  <si>
    <t>SSOP-28</t>
  </si>
  <si>
    <t>525-01RILF SSOP-28</t>
  </si>
  <si>
    <t>ICS525-01/02</t>
  </si>
  <si>
    <t>28-TSSOP</t>
  </si>
  <si>
    <t>IDT</t>
  </si>
  <si>
    <t>74LVC1G04GV</t>
  </si>
  <si>
    <t>74LVC1G04GV SOT23-5</t>
  </si>
  <si>
    <t>74LVC1G04</t>
  </si>
  <si>
    <t>NXP Semiconductors</t>
  </si>
  <si>
    <t>ATmega8A-AU</t>
  </si>
  <si>
    <t>32-LQFP</t>
  </si>
  <si>
    <t>Microchip Technology</t>
  </si>
  <si>
    <t>CC2640R2FRGZT</t>
  </si>
  <si>
    <t>CC2640RGZ</t>
  </si>
  <si>
    <t>48-QFN (7x7)</t>
  </si>
  <si>
    <t>CC2640R2FRHBT</t>
  </si>
  <si>
    <t>CC2640RHB</t>
  </si>
  <si>
    <t>32-QFN (5x5)</t>
  </si>
  <si>
    <t>ESP32-WROOM-32E (4MB)</t>
  </si>
  <si>
    <t>ESP32-WROOM-32</t>
  </si>
  <si>
    <t>Espressif Systems</t>
  </si>
  <si>
    <t>ESP32-WROOM-32UE (4MB)</t>
  </si>
  <si>
    <t>ESP32-WROOM-32UE</t>
  </si>
  <si>
    <t>GD32F407VGT6</t>
  </si>
  <si>
    <t>LQFP-100</t>
  </si>
  <si>
    <t>GD32F407VGT6 LQFP-100</t>
  </si>
  <si>
    <t>GD32F407Vx</t>
  </si>
  <si>
    <t>100-LQFP</t>
  </si>
  <si>
    <t>GigaDevice</t>
  </si>
  <si>
    <t>GD32F103C8T6</t>
  </si>
  <si>
    <t>GD32F103C8T6 LQFP-48</t>
  </si>
  <si>
    <t>GD32Fx03Cx</t>
  </si>
  <si>
    <t>GD32F303CGT6</t>
  </si>
  <si>
    <t>GD32F303CGT6 LQFP-48</t>
  </si>
  <si>
    <t>MSP430F5438AIPZ</t>
  </si>
  <si>
    <t>MSP430F5438AIPZ LQFP-100</t>
  </si>
  <si>
    <t>MSP430F543xA</t>
  </si>
  <si>
    <t>NRF52840-QFAA-F-R7</t>
  </si>
  <si>
    <t>QFN-48</t>
  </si>
  <si>
    <t>NRF52840-QFAA-F-R7 QFN-48</t>
  </si>
  <si>
    <t>nRF52840-QF</t>
  </si>
  <si>
    <t>QFN-48-1EP_6x6mm_P0.4mm_EP4.6x4.6mm_ThermalVias</t>
  </si>
  <si>
    <t>Nordic Semiconductor</t>
  </si>
  <si>
    <t>STM32H743IIT6</t>
  </si>
  <si>
    <t>176-LQFP</t>
  </si>
  <si>
    <t>STM32H74xxI/G</t>
  </si>
  <si>
    <t>STM</t>
  </si>
  <si>
    <t>К1986ВЕ1QI</t>
  </si>
  <si>
    <t>LQFP-144</t>
  </si>
  <si>
    <t>1986ВЕ1Q</t>
  </si>
  <si>
    <t>144-LQFP</t>
  </si>
  <si>
    <t>1986ВЕ1Т</t>
  </si>
  <si>
    <t>4229.132-3</t>
  </si>
  <si>
    <t>1986ВЕ1Т 4229.132-3</t>
  </si>
  <si>
    <t>К1986ВЕ92QI</t>
  </si>
  <si>
    <t>LQFP-64</t>
  </si>
  <si>
    <t>1986ВЕ92Q</t>
  </si>
  <si>
    <t>1986BE92У</t>
  </si>
  <si>
    <t>Н18.64-1В</t>
  </si>
  <si>
    <t>1986BE92У H18.64-1В</t>
  </si>
  <si>
    <t>1986ВЕ92У</t>
  </si>
  <si>
    <t>1986ВЕ93У</t>
  </si>
  <si>
    <t>1986ВЕ93У H16.48-1B</t>
  </si>
  <si>
    <t>93AA46-SN</t>
  </si>
  <si>
    <t>93AA46-SN SOIC-8</t>
  </si>
  <si>
    <t>93AA46</t>
  </si>
  <si>
    <t>8-SO (200 mill)</t>
  </si>
  <si>
    <t>1636PP1АУ</t>
  </si>
  <si>
    <t>Н14.42-1В</t>
  </si>
  <si>
    <t>1636PP1АУ Н14.42-1В</t>
  </si>
  <si>
    <t>АЕЯР.431210.647ТУ</t>
  </si>
  <si>
    <t>1636PP2АУ</t>
  </si>
  <si>
    <t>1636PP2АУ Н16.48-1В</t>
  </si>
  <si>
    <t>AS5F38G04SND-10LIN</t>
  </si>
  <si>
    <t>8-LGA</t>
  </si>
  <si>
    <t>AS5F18G04SND-10LIN</t>
  </si>
  <si>
    <t>AS5FxxG04SND-xxLIN</t>
  </si>
  <si>
    <t>Winbond Electronics</t>
  </si>
  <si>
    <t>AT24C02M5/TR</t>
  </si>
  <si>
    <t>AT24C02M5/TR SOT23-5</t>
  </si>
  <si>
    <t>AT24CxxM5</t>
  </si>
  <si>
    <t>HGSemi</t>
  </si>
  <si>
    <t>AT24C04M5/TR</t>
  </si>
  <si>
    <t>AT24C04M5/TR SOT23-5</t>
  </si>
  <si>
    <t>AT24C08M5/TR</t>
  </si>
  <si>
    <t>AT24C08M5/TR SOT23-5</t>
  </si>
  <si>
    <t>AT24C16M5/TR</t>
  </si>
  <si>
    <t>AT24C16M5/TR SOT23-5</t>
  </si>
  <si>
    <t>W25Q32JVSSIQ</t>
  </si>
  <si>
    <t>W25Q32JVSSIQ SOIC-8</t>
  </si>
  <si>
    <t>Flash_SPI_8pin</t>
  </si>
  <si>
    <t>GD25Q16ETIGR</t>
  </si>
  <si>
    <t>ZD25Q64BSIGT</t>
  </si>
  <si>
    <t>Zetta</t>
  </si>
  <si>
    <t>W9812G6KH-6</t>
  </si>
  <si>
    <t>54-TSOP</t>
  </si>
  <si>
    <t>ICS-43434</t>
  </si>
  <si>
    <t>MIC: ICS-43434</t>
  </si>
  <si>
    <t>InvenSense</t>
  </si>
  <si>
    <t>TPS3823-30DBVR</t>
  </si>
  <si>
    <t>TPS3823-30DBVR SOT23-5</t>
  </si>
  <si>
    <t>TPS3820</t>
  </si>
  <si>
    <t>EL1019</t>
  </si>
  <si>
    <t>4-LSOP</t>
  </si>
  <si>
    <t>UMW</t>
  </si>
  <si>
    <t>TXS0108EPWR</t>
  </si>
  <si>
    <t>TSSOP-20</t>
  </si>
  <si>
    <t>TXS0108EPWR TSSOP-20</t>
  </si>
  <si>
    <t>TXS0108E</t>
  </si>
  <si>
    <t>20-TSSOP</t>
  </si>
  <si>
    <t>MS51FB9AE</t>
  </si>
  <si>
    <t>Nuvoton</t>
  </si>
  <si>
    <t>AT32F421</t>
  </si>
  <si>
    <t>AT32F421K8U7</t>
  </si>
  <si>
    <t>32-QFN (4x4)</t>
  </si>
  <si>
    <t>Artery</t>
  </si>
  <si>
    <t>STM8S003F3P6TR</t>
  </si>
  <si>
    <t>STM8S003</t>
  </si>
  <si>
    <t>M25PE16</t>
  </si>
  <si>
    <t>Micron</t>
  </si>
  <si>
    <t>74HC273D</t>
  </si>
  <si>
    <t>20-SOIC</t>
  </si>
  <si>
    <t>74HC273D,653</t>
  </si>
  <si>
    <r>
      <t>ULN2803A</t>
    </r>
    <r>
      <rPr>
        <sz val="10"/>
        <color rgb="FF000000"/>
        <rFont val="Inter"/>
      </rPr>
      <t>DW</t>
    </r>
  </si>
  <si>
    <t>18-SOIC</t>
  </si>
  <si>
    <t>ULN2803A</t>
  </si>
  <si>
    <t>SN74LVC1G08</t>
  </si>
  <si>
    <t>SN74LVC1G08DRL</t>
  </si>
  <si>
    <t>DRL</t>
  </si>
  <si>
    <t>SN74LVC1G08DRL DRL</t>
  </si>
  <si>
    <t>74ACT74MTC TSSOP-14</t>
  </si>
  <si>
    <t>SOIC-20</t>
  </si>
  <si>
    <t>74HC273D SOIC-20</t>
  </si>
  <si>
    <t>LQFP-32</t>
  </si>
  <si>
    <t>ATmega8A-AU LQFP-32</t>
  </si>
  <si>
    <t>VFQFN-48</t>
  </si>
  <si>
    <t>CC2640R2FRGZT VFQFN-48</t>
  </si>
  <si>
    <t>CC2640R2FRHBT VFQFN-32</t>
  </si>
  <si>
    <t>VFQFN-32</t>
  </si>
  <si>
    <t>LQFP-176</t>
  </si>
  <si>
    <t>STM32H743IIT6 LQFP-176</t>
  </si>
  <si>
    <t>MS51FB9AE TSSOP-20</t>
  </si>
  <si>
    <t>AT32F421K8U7 QFN-32 (4x4)</t>
  </si>
  <si>
    <t>QFN-32 (4x4)</t>
  </si>
  <si>
    <t>STM8S003F3P6TR TSSOP-20</t>
  </si>
  <si>
    <t>К1986ВЕ1QI LQFP-144</t>
  </si>
  <si>
    <t>К1986ВЕ92QI LQFP-64</t>
  </si>
  <si>
    <t>LGA-8</t>
  </si>
  <si>
    <t>AS5F18G04SND-10LIN LGA-8</t>
  </si>
  <si>
    <t>GD25Q16ETIGR SOP-8</t>
  </si>
  <si>
    <t>ZD25Q64BSIGT SOP-8</t>
  </si>
  <si>
    <t>SOP-8</t>
  </si>
  <si>
    <t>TSOP-54</t>
  </si>
  <si>
    <t>W9812G6KH-6 TSOP-54</t>
  </si>
  <si>
    <t>M25PE16 SOIC-8</t>
  </si>
  <si>
    <t>LSOP-4</t>
  </si>
  <si>
    <t>EL1019 LSOP-4</t>
  </si>
  <si>
    <r>
      <t>ULN2803A</t>
    </r>
    <r>
      <rPr>
        <sz val="10"/>
        <color rgb="FF000000"/>
        <rFont val="Inter"/>
      </rPr>
      <t>DW</t>
    </r>
    <r>
      <rPr>
        <sz val="11"/>
        <color theme="1"/>
        <rFont val="Calibri"/>
        <family val="2"/>
        <charset val="204"/>
        <scheme val="minor"/>
      </rPr>
      <t xml:space="preserve"> SOIC-18</t>
    </r>
  </si>
  <si>
    <t>SOIC-18</t>
  </si>
  <si>
    <t>SN74AHCT1G86</t>
  </si>
  <si>
    <r>
      <t>SN74AHCT1G86</t>
    </r>
    <r>
      <rPr>
        <sz val="10"/>
        <color rgb="FF000000"/>
        <rFont val="Calibri"/>
        <family val="2"/>
        <charset val="204"/>
        <scheme val="minor"/>
      </rPr>
      <t>DBV</t>
    </r>
  </si>
  <si>
    <r>
      <t>SN74AHCT1G86</t>
    </r>
    <r>
      <rPr>
        <sz val="10"/>
        <color rgb="FF000000"/>
        <rFont val="Calibri"/>
        <family val="2"/>
        <charset val="204"/>
        <scheme val="minor"/>
      </rPr>
      <t>DBV</t>
    </r>
    <r>
      <rPr>
        <sz val="11"/>
        <color theme="1"/>
        <rFont val="Calibri"/>
        <family val="2"/>
        <charset val="204"/>
        <scheme val="minor"/>
      </rPr>
      <t xml:space="preserve"> SOT23-5</t>
    </r>
  </si>
  <si>
    <t>NE555</t>
  </si>
  <si>
    <t>NE555D</t>
  </si>
  <si>
    <t>NE555 8-SOIC</t>
  </si>
  <si>
    <t>SN74LVC1G02DBVR</t>
  </si>
  <si>
    <t>SN74LVC1G02DBV</t>
  </si>
  <si>
    <t>SN74LVC1G02DBV SOT23-5</t>
  </si>
  <si>
    <t>ISO1540</t>
  </si>
  <si>
    <t>ISO1540DR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</si>
</sst>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rgb="FF000000"/>
      <name val="Inter"/>
    </font>
    <font>
      <sz val="10"/>
      <color rgb="FF00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</cellXfs>
  <cellStyles count="2">
    <cellStyle name="Accent 3 2" xfId="1" xr:uid="{07D6D35A-A25D-4183-ACA2-756DA14CBAEA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H15"/>
  <sheetViews>
    <sheetView zoomScaleNormal="100" workbookViewId="0">
      <selection activeCell="B9" sqref="B9"/>
    </sheetView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 t="s">
        <v>24</v>
      </c>
      <c r="B2" t="s">
        <v>15</v>
      </c>
      <c r="C2" t="s">
        <v>25</v>
      </c>
      <c r="D2" t="s">
        <v>24</v>
      </c>
      <c r="E2" t="s">
        <v>24</v>
      </c>
      <c r="F2" t="s">
        <v>16</v>
      </c>
      <c r="G2" t="s">
        <v>26</v>
      </c>
    </row>
    <row r="3" spans="1:8">
      <c r="A3" s="2" t="s">
        <v>27</v>
      </c>
      <c r="C3" t="s">
        <v>27</v>
      </c>
      <c r="D3" t="s">
        <v>27</v>
      </c>
      <c r="E3" t="s">
        <v>27</v>
      </c>
      <c r="F3" t="s">
        <v>27</v>
      </c>
      <c r="G3" t="s">
        <v>28</v>
      </c>
    </row>
    <row r="4" spans="1:8">
      <c r="A4" s="2" t="s">
        <v>29</v>
      </c>
      <c r="B4" s="2" t="s">
        <v>30</v>
      </c>
      <c r="C4" s="2" t="s">
        <v>31</v>
      </c>
      <c r="D4" s="2" t="s">
        <v>29</v>
      </c>
      <c r="E4" s="2" t="s">
        <v>32</v>
      </c>
      <c r="F4" s="2" t="s">
        <v>33</v>
      </c>
      <c r="G4" s="2" t="s">
        <v>34</v>
      </c>
    </row>
    <row r="5" spans="1:8">
      <c r="A5" s="2" t="s">
        <v>193</v>
      </c>
      <c r="B5" s="2" t="s">
        <v>12</v>
      </c>
      <c r="C5" s="2" t="s">
        <v>194</v>
      </c>
      <c r="D5" s="2" t="s">
        <v>192</v>
      </c>
      <c r="E5" s="2" t="s">
        <v>192</v>
      </c>
      <c r="F5" s="2" t="s">
        <v>12</v>
      </c>
      <c r="G5" t="s">
        <v>10</v>
      </c>
    </row>
    <row r="6" spans="1:8">
      <c r="A6" s="2"/>
      <c r="B6" s="2"/>
      <c r="C6" s="2"/>
      <c r="D6" s="2"/>
      <c r="E6" s="2"/>
      <c r="F6" s="2"/>
      <c r="G6" s="2"/>
    </row>
    <row r="7" spans="1:8">
      <c r="A7" s="2"/>
      <c r="B7" s="2"/>
      <c r="C7" s="2"/>
      <c r="D7" s="2"/>
      <c r="E7" s="2"/>
      <c r="F7" s="2"/>
      <c r="G7" s="2"/>
    </row>
    <row r="8" spans="1:8">
      <c r="A8" s="2"/>
      <c r="B8" s="2"/>
      <c r="C8" s="2"/>
      <c r="D8" s="2"/>
      <c r="E8" s="2"/>
      <c r="F8" s="2"/>
      <c r="G8" s="2"/>
    </row>
    <row r="9" spans="1:8">
      <c r="A9" s="2"/>
      <c r="B9" s="2"/>
      <c r="C9" s="2"/>
      <c r="D9" s="2"/>
      <c r="E9" s="2"/>
      <c r="F9" s="2"/>
      <c r="G9" s="2"/>
    </row>
    <row r="10" spans="1:8">
      <c r="A10" s="2"/>
      <c r="B10" s="2"/>
      <c r="C10" s="2"/>
      <c r="D10" s="2"/>
      <c r="E10" s="2"/>
      <c r="F10" s="2"/>
      <c r="G10" s="2"/>
    </row>
    <row r="11" spans="1:8">
      <c r="A11" s="2"/>
      <c r="B11" s="2"/>
      <c r="C11" s="2"/>
      <c r="D11" s="2"/>
      <c r="E11" s="2"/>
      <c r="F11" s="2"/>
      <c r="G11" s="2"/>
    </row>
    <row r="12" spans="1:8">
      <c r="A12" s="2"/>
      <c r="B12" s="2"/>
      <c r="C12" s="2"/>
      <c r="D12" s="2"/>
      <c r="E12" s="2"/>
      <c r="F12" s="2"/>
      <c r="G12" s="2"/>
    </row>
    <row r="13" spans="1:8">
      <c r="A13" s="2"/>
      <c r="B13" s="2"/>
      <c r="C13" s="2"/>
      <c r="D13" s="2"/>
      <c r="E13" s="2"/>
      <c r="F13" s="2"/>
      <c r="G13" s="2"/>
    </row>
    <row r="14" spans="1:8">
      <c r="A14" s="2"/>
      <c r="B14" s="2"/>
      <c r="C14" s="2"/>
      <c r="D14" s="2"/>
      <c r="E14" s="2"/>
      <c r="F14" s="2"/>
      <c r="G14" s="2"/>
    </row>
    <row r="15" spans="1:8">
      <c r="A15" s="2"/>
      <c r="B15" s="2"/>
      <c r="C15" s="2"/>
      <c r="D15" s="2"/>
      <c r="E15" s="2"/>
      <c r="F15" s="2"/>
      <c r="G15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H8"/>
  <sheetViews>
    <sheetView zoomScaleNormal="100" workbookViewId="0">
      <selection activeCell="F11" sqref="F11"/>
    </sheetView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20</v>
      </c>
      <c r="B2" t="s">
        <v>17</v>
      </c>
      <c r="C2" t="s">
        <v>160</v>
      </c>
      <c r="D2" t="s">
        <v>20</v>
      </c>
      <c r="E2" t="s">
        <v>20</v>
      </c>
      <c r="F2" t="s">
        <v>21</v>
      </c>
      <c r="G2" t="s">
        <v>10</v>
      </c>
    </row>
    <row r="3" spans="1:8">
      <c r="A3" t="s">
        <v>22</v>
      </c>
      <c r="B3" t="s">
        <v>17</v>
      </c>
      <c r="C3" t="s">
        <v>23</v>
      </c>
      <c r="D3" t="s">
        <v>22</v>
      </c>
      <c r="E3" t="s">
        <v>22</v>
      </c>
      <c r="F3" t="s">
        <v>21</v>
      </c>
      <c r="G3" t="s">
        <v>10</v>
      </c>
    </row>
    <row r="4" spans="1:8">
      <c r="A4" t="s">
        <v>35</v>
      </c>
      <c r="B4" t="s">
        <v>18</v>
      </c>
      <c r="C4" t="s">
        <v>36</v>
      </c>
      <c r="D4" t="s">
        <v>35</v>
      </c>
      <c r="E4" t="s">
        <v>37</v>
      </c>
      <c r="F4" t="s">
        <v>18</v>
      </c>
      <c r="G4" t="s">
        <v>38</v>
      </c>
    </row>
    <row r="5" spans="1:8">
      <c r="A5" t="s">
        <v>150</v>
      </c>
      <c r="B5" t="s">
        <v>161</v>
      </c>
      <c r="C5" t="s">
        <v>162</v>
      </c>
      <c r="D5" t="s">
        <v>152</v>
      </c>
      <c r="E5" t="s">
        <v>150</v>
      </c>
      <c r="F5" t="s">
        <v>151</v>
      </c>
      <c r="G5" t="s">
        <v>38</v>
      </c>
    </row>
    <row r="6" spans="1:8">
      <c r="A6" t="s">
        <v>157</v>
      </c>
      <c r="B6" t="s">
        <v>158</v>
      </c>
      <c r="C6" t="s">
        <v>159</v>
      </c>
      <c r="D6" t="s">
        <v>157</v>
      </c>
      <c r="E6" t="s">
        <v>156</v>
      </c>
      <c r="F6" t="s">
        <v>158</v>
      </c>
      <c r="G6" t="s">
        <v>10</v>
      </c>
    </row>
    <row r="7" spans="1:8">
      <c r="A7" t="s">
        <v>190</v>
      </c>
      <c r="B7" t="s">
        <v>18</v>
      </c>
      <c r="C7" t="s">
        <v>191</v>
      </c>
      <c r="D7" t="s">
        <v>190</v>
      </c>
      <c r="E7" t="s">
        <v>189</v>
      </c>
      <c r="F7" t="s">
        <v>18</v>
      </c>
      <c r="G7" t="s">
        <v>10</v>
      </c>
    </row>
    <row r="8" spans="1:8">
      <c r="A8" t="s">
        <v>196</v>
      </c>
      <c r="B8" t="s">
        <v>18</v>
      </c>
      <c r="C8" t="s">
        <v>197</v>
      </c>
      <c r="D8" t="s">
        <v>196</v>
      </c>
      <c r="E8" t="s">
        <v>195</v>
      </c>
      <c r="F8" t="s">
        <v>18</v>
      </c>
      <c r="G8" t="s">
        <v>10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D8C3D-D832-496B-AB92-259D2AD291EC}">
  <dimension ref="A1:H15"/>
  <sheetViews>
    <sheetView zoomScale="140" zoomScaleNormal="140" workbookViewId="0"/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 t="s">
        <v>39</v>
      </c>
      <c r="B2" s="2" t="s">
        <v>163</v>
      </c>
      <c r="C2" s="2" t="s">
        <v>164</v>
      </c>
      <c r="D2" s="2" t="s">
        <v>39</v>
      </c>
      <c r="E2" s="2" t="s">
        <v>39</v>
      </c>
      <c r="F2" s="2" t="s">
        <v>40</v>
      </c>
      <c r="G2" s="2" t="s">
        <v>41</v>
      </c>
      <c r="H2" s="2"/>
    </row>
    <row r="3" spans="1:8">
      <c r="A3" s="2" t="s">
        <v>42</v>
      </c>
      <c r="B3" s="2" t="s">
        <v>165</v>
      </c>
      <c r="C3" s="2" t="s">
        <v>166</v>
      </c>
      <c r="D3" s="2" t="s">
        <v>42</v>
      </c>
      <c r="E3" s="2" t="s">
        <v>43</v>
      </c>
      <c r="F3" s="2" t="s">
        <v>44</v>
      </c>
      <c r="G3" s="2" t="s">
        <v>10</v>
      </c>
      <c r="H3" s="2"/>
    </row>
    <row r="4" spans="1:8">
      <c r="A4" s="2" t="s">
        <v>45</v>
      </c>
      <c r="B4" s="2" t="s">
        <v>168</v>
      </c>
      <c r="C4" s="2" t="s">
        <v>167</v>
      </c>
      <c r="D4" s="2" t="s">
        <v>45</v>
      </c>
      <c r="E4" s="2" t="s">
        <v>46</v>
      </c>
      <c r="F4" s="2" t="s">
        <v>47</v>
      </c>
      <c r="G4" s="2" t="s">
        <v>10</v>
      </c>
      <c r="H4" s="2"/>
    </row>
    <row r="5" spans="1:8">
      <c r="A5" s="2" t="s">
        <v>48</v>
      </c>
      <c r="B5" s="2"/>
      <c r="C5" s="2" t="s">
        <v>48</v>
      </c>
      <c r="D5" s="2" t="s">
        <v>48</v>
      </c>
      <c r="E5" s="2" t="s">
        <v>49</v>
      </c>
      <c r="F5" s="2" t="s">
        <v>49</v>
      </c>
      <c r="G5" s="2" t="s">
        <v>50</v>
      </c>
      <c r="H5" s="2"/>
    </row>
    <row r="6" spans="1:8">
      <c r="A6" s="2" t="s">
        <v>51</v>
      </c>
      <c r="B6" s="2"/>
      <c r="C6" s="2" t="s">
        <v>51</v>
      </c>
      <c r="D6" s="2" t="s">
        <v>51</v>
      </c>
      <c r="E6" s="2" t="s">
        <v>49</v>
      </c>
      <c r="F6" s="2" t="s">
        <v>52</v>
      </c>
      <c r="G6" s="2" t="s">
        <v>50</v>
      </c>
      <c r="H6" s="2"/>
    </row>
    <row r="7" spans="1:8">
      <c r="A7" s="2" t="s">
        <v>53</v>
      </c>
      <c r="B7" s="2" t="s">
        <v>54</v>
      </c>
      <c r="C7" s="2" t="s">
        <v>55</v>
      </c>
      <c r="D7" s="2" t="s">
        <v>53</v>
      </c>
      <c r="E7" s="2" t="s">
        <v>56</v>
      </c>
      <c r="F7" s="2" t="s">
        <v>57</v>
      </c>
      <c r="G7" s="2" t="s">
        <v>58</v>
      </c>
      <c r="H7" s="2"/>
    </row>
    <row r="8" spans="1:8">
      <c r="A8" s="2" t="s">
        <v>59</v>
      </c>
      <c r="B8" s="2" t="s">
        <v>8</v>
      </c>
      <c r="C8" s="2" t="s">
        <v>60</v>
      </c>
      <c r="D8" s="2" t="s">
        <v>59</v>
      </c>
      <c r="E8" s="2" t="s">
        <v>61</v>
      </c>
      <c r="F8" s="2" t="s">
        <v>9</v>
      </c>
      <c r="G8" s="2" t="s">
        <v>58</v>
      </c>
      <c r="H8" s="2"/>
    </row>
    <row r="9" spans="1:8">
      <c r="A9" s="2" t="s">
        <v>62</v>
      </c>
      <c r="B9" s="2" t="s">
        <v>8</v>
      </c>
      <c r="C9" s="2" t="s">
        <v>63</v>
      </c>
      <c r="D9" s="2" t="s">
        <v>62</v>
      </c>
      <c r="E9" s="2" t="s">
        <v>61</v>
      </c>
      <c r="F9" s="2" t="s">
        <v>9</v>
      </c>
      <c r="G9" s="2" t="s">
        <v>58</v>
      </c>
      <c r="H9" s="2"/>
    </row>
    <row r="10" spans="1:8">
      <c r="A10" s="2" t="s">
        <v>64</v>
      </c>
      <c r="B10" s="2" t="s">
        <v>54</v>
      </c>
      <c r="C10" s="2" t="s">
        <v>65</v>
      </c>
      <c r="D10" s="2" t="s">
        <v>64</v>
      </c>
      <c r="E10" s="2" t="s">
        <v>66</v>
      </c>
      <c r="F10" s="2" t="s">
        <v>57</v>
      </c>
      <c r="G10" s="2" t="s">
        <v>10</v>
      </c>
      <c r="H10" s="2"/>
    </row>
    <row r="11" spans="1:8">
      <c r="A11" s="2" t="s">
        <v>67</v>
      </c>
      <c r="B11" s="2" t="s">
        <v>68</v>
      </c>
      <c r="C11" s="2" t="s">
        <v>69</v>
      </c>
      <c r="D11" s="2" t="s">
        <v>67</v>
      </c>
      <c r="E11" s="2" t="s">
        <v>70</v>
      </c>
      <c r="F11" s="2" t="s">
        <v>71</v>
      </c>
      <c r="G11" s="2" t="s">
        <v>72</v>
      </c>
      <c r="H11" s="2"/>
    </row>
    <row r="12" spans="1:8">
      <c r="A12" s="2" t="s">
        <v>73</v>
      </c>
      <c r="B12" s="2" t="s">
        <v>169</v>
      </c>
      <c r="C12" s="2" t="s">
        <v>170</v>
      </c>
      <c r="D12" s="2" t="s">
        <v>73</v>
      </c>
      <c r="E12" s="2" t="s">
        <v>75</v>
      </c>
      <c r="F12" s="2" t="s">
        <v>74</v>
      </c>
      <c r="G12" s="2" t="s">
        <v>76</v>
      </c>
      <c r="H12" s="2"/>
    </row>
    <row r="13" spans="1:8">
      <c r="A13" s="2" t="s">
        <v>140</v>
      </c>
      <c r="B13" s="2" t="s">
        <v>136</v>
      </c>
      <c r="C13" s="2" t="s">
        <v>171</v>
      </c>
      <c r="D13" s="2" t="s">
        <v>140</v>
      </c>
      <c r="E13" s="2" t="s">
        <v>140</v>
      </c>
      <c r="F13" s="2" t="s">
        <v>139</v>
      </c>
      <c r="G13" s="2" t="s">
        <v>141</v>
      </c>
    </row>
    <row r="14" spans="1:8">
      <c r="A14" t="s">
        <v>143</v>
      </c>
      <c r="B14" t="s">
        <v>173</v>
      </c>
      <c r="C14" t="s">
        <v>172</v>
      </c>
      <c r="D14" t="s">
        <v>143</v>
      </c>
      <c r="E14" t="s">
        <v>142</v>
      </c>
      <c r="F14" t="s">
        <v>144</v>
      </c>
      <c r="G14" s="2" t="s">
        <v>145</v>
      </c>
    </row>
    <row r="15" spans="1:8">
      <c r="A15" t="s">
        <v>146</v>
      </c>
      <c r="B15" s="2" t="s">
        <v>136</v>
      </c>
      <c r="C15" t="s">
        <v>174</v>
      </c>
      <c r="D15" t="s">
        <v>146</v>
      </c>
      <c r="E15" t="s">
        <v>147</v>
      </c>
      <c r="F15" s="2" t="s">
        <v>139</v>
      </c>
      <c r="G15" s="2" t="s">
        <v>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41208-6905-41A5-8CDA-45891F714057}">
  <dimension ref="A1:H6"/>
  <sheetViews>
    <sheetView zoomScale="140" zoomScaleNormal="140" workbookViewId="0"/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 t="s">
        <v>77</v>
      </c>
      <c r="B2" t="s">
        <v>78</v>
      </c>
      <c r="C2" t="s">
        <v>175</v>
      </c>
      <c r="D2" t="s">
        <v>77</v>
      </c>
      <c r="E2" t="s">
        <v>79</v>
      </c>
      <c r="F2" t="s">
        <v>80</v>
      </c>
    </row>
    <row r="3" spans="1:8">
      <c r="A3" t="s">
        <v>81</v>
      </c>
      <c r="B3" t="s">
        <v>82</v>
      </c>
      <c r="C3" t="s">
        <v>83</v>
      </c>
      <c r="D3" t="s">
        <v>81</v>
      </c>
      <c r="E3" s="2" t="s">
        <v>81</v>
      </c>
      <c r="F3" s="2" t="s">
        <v>82</v>
      </c>
    </row>
    <row r="4" spans="1:8">
      <c r="A4" t="s">
        <v>84</v>
      </c>
      <c r="B4" t="s">
        <v>85</v>
      </c>
      <c r="C4" t="s">
        <v>176</v>
      </c>
      <c r="D4" t="s">
        <v>84</v>
      </c>
      <c r="E4" s="2" t="s">
        <v>86</v>
      </c>
      <c r="F4" s="2" t="s">
        <v>13</v>
      </c>
    </row>
    <row r="5" spans="1:8">
      <c r="A5" t="s">
        <v>87</v>
      </c>
      <c r="B5" t="s">
        <v>88</v>
      </c>
      <c r="C5" t="s">
        <v>89</v>
      </c>
      <c r="D5" t="s">
        <v>87</v>
      </c>
      <c r="E5" s="2" t="s">
        <v>90</v>
      </c>
      <c r="F5" s="2" t="s">
        <v>88</v>
      </c>
    </row>
    <row r="6" spans="1:8" ht="12.75" customHeight="1">
      <c r="A6" t="s">
        <v>91</v>
      </c>
      <c r="B6" t="s">
        <v>14</v>
      </c>
      <c r="C6" t="s">
        <v>92</v>
      </c>
      <c r="D6" t="s">
        <v>91</v>
      </c>
      <c r="E6" s="2" t="s">
        <v>91</v>
      </c>
      <c r="F6" s="2" t="s">
        <v>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817BF-F161-418A-9B8F-87A18459EBCD}">
  <dimension ref="A1:H14"/>
  <sheetViews>
    <sheetView zoomScale="140" zoomScaleNormal="140" workbookViewId="0"/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93</v>
      </c>
      <c r="B2" t="s">
        <v>11</v>
      </c>
      <c r="C2" t="s">
        <v>94</v>
      </c>
      <c r="D2" t="s">
        <v>93</v>
      </c>
      <c r="E2" t="s">
        <v>95</v>
      </c>
      <c r="F2" s="2" t="s">
        <v>96</v>
      </c>
      <c r="G2" t="s">
        <v>19</v>
      </c>
    </row>
    <row r="3" spans="1:8">
      <c r="A3" s="2" t="s">
        <v>97</v>
      </c>
      <c r="B3" t="s">
        <v>98</v>
      </c>
      <c r="C3" t="s">
        <v>99</v>
      </c>
      <c r="D3" t="s">
        <v>97</v>
      </c>
      <c r="E3" t="s">
        <v>97</v>
      </c>
      <c r="F3" t="s">
        <v>98</v>
      </c>
      <c r="H3" t="s">
        <v>100</v>
      </c>
    </row>
    <row r="4" spans="1:8">
      <c r="A4" s="2" t="s">
        <v>101</v>
      </c>
      <c r="B4" t="s">
        <v>14</v>
      </c>
      <c r="C4" t="s">
        <v>102</v>
      </c>
      <c r="D4" t="s">
        <v>101</v>
      </c>
      <c r="E4" t="s">
        <v>101</v>
      </c>
      <c r="F4" t="s">
        <v>14</v>
      </c>
      <c r="H4" t="s">
        <v>100</v>
      </c>
    </row>
    <row r="5" spans="1:8">
      <c r="A5" s="2" t="s">
        <v>103</v>
      </c>
      <c r="B5" t="s">
        <v>177</v>
      </c>
      <c r="C5" s="2" t="s">
        <v>178</v>
      </c>
      <c r="D5" s="2" t="s">
        <v>105</v>
      </c>
      <c r="E5" s="2" t="s">
        <v>106</v>
      </c>
      <c r="F5" s="2" t="s">
        <v>104</v>
      </c>
      <c r="G5" s="2" t="s">
        <v>107</v>
      </c>
    </row>
    <row r="6" spans="1:8">
      <c r="A6" s="2" t="s">
        <v>108</v>
      </c>
      <c r="B6" t="s">
        <v>18</v>
      </c>
      <c r="C6" s="2" t="s">
        <v>109</v>
      </c>
      <c r="D6" s="2" t="s">
        <v>108</v>
      </c>
      <c r="E6" t="s">
        <v>110</v>
      </c>
      <c r="F6" t="s">
        <v>18</v>
      </c>
      <c r="G6" t="s">
        <v>111</v>
      </c>
    </row>
    <row r="7" spans="1:8">
      <c r="A7" s="2" t="s">
        <v>112</v>
      </c>
      <c r="B7" t="s">
        <v>18</v>
      </c>
      <c r="C7" s="2" t="s">
        <v>113</v>
      </c>
      <c r="D7" s="2" t="s">
        <v>112</v>
      </c>
      <c r="E7" t="s">
        <v>110</v>
      </c>
      <c r="F7" t="s">
        <v>18</v>
      </c>
      <c r="G7" t="s">
        <v>111</v>
      </c>
    </row>
    <row r="8" spans="1:8">
      <c r="A8" s="2" t="s">
        <v>114</v>
      </c>
      <c r="B8" t="s">
        <v>18</v>
      </c>
      <c r="C8" s="2" t="s">
        <v>115</v>
      </c>
      <c r="D8" s="2" t="s">
        <v>114</v>
      </c>
      <c r="E8" t="s">
        <v>110</v>
      </c>
      <c r="F8" t="s">
        <v>18</v>
      </c>
      <c r="G8" t="s">
        <v>111</v>
      </c>
    </row>
    <row r="9" spans="1:8">
      <c r="A9" s="2" t="s">
        <v>116</v>
      </c>
      <c r="B9" t="s">
        <v>18</v>
      </c>
      <c r="C9" s="2" t="s">
        <v>117</v>
      </c>
      <c r="D9" s="2" t="s">
        <v>116</v>
      </c>
      <c r="E9" t="s">
        <v>110</v>
      </c>
      <c r="F9" t="s">
        <v>18</v>
      </c>
      <c r="G9" t="s">
        <v>111</v>
      </c>
    </row>
    <row r="10" spans="1:8">
      <c r="A10" s="2" t="s">
        <v>118</v>
      </c>
      <c r="B10" t="s">
        <v>11</v>
      </c>
      <c r="C10" t="s">
        <v>119</v>
      </c>
      <c r="D10" t="s">
        <v>118</v>
      </c>
      <c r="E10" s="2" t="s">
        <v>120</v>
      </c>
      <c r="F10" s="2" t="s">
        <v>96</v>
      </c>
      <c r="G10" s="2" t="s">
        <v>107</v>
      </c>
    </row>
    <row r="11" spans="1:8">
      <c r="A11" t="s">
        <v>121</v>
      </c>
      <c r="B11" t="s">
        <v>181</v>
      </c>
      <c r="C11" t="s">
        <v>179</v>
      </c>
      <c r="D11" t="s">
        <v>121</v>
      </c>
      <c r="E11" s="2" t="s">
        <v>120</v>
      </c>
      <c r="F11" t="s">
        <v>12</v>
      </c>
      <c r="G11" t="s">
        <v>58</v>
      </c>
    </row>
    <row r="12" spans="1:8">
      <c r="A12" s="2" t="s">
        <v>122</v>
      </c>
      <c r="B12" t="s">
        <v>181</v>
      </c>
      <c r="C12" t="s">
        <v>180</v>
      </c>
      <c r="D12" s="2" t="s">
        <v>122</v>
      </c>
      <c r="E12" s="2" t="s">
        <v>120</v>
      </c>
      <c r="F12" s="2" t="s">
        <v>96</v>
      </c>
      <c r="G12" t="s">
        <v>123</v>
      </c>
    </row>
    <row r="13" spans="1:8">
      <c r="A13" s="2" t="s">
        <v>124</v>
      </c>
      <c r="B13" t="s">
        <v>182</v>
      </c>
      <c r="C13" s="2" t="s">
        <v>183</v>
      </c>
      <c r="D13" s="2" t="s">
        <v>124</v>
      </c>
      <c r="E13" s="2" t="s">
        <v>124</v>
      </c>
      <c r="F13" t="s">
        <v>125</v>
      </c>
      <c r="G13" s="2" t="s">
        <v>107</v>
      </c>
    </row>
    <row r="14" spans="1:8">
      <c r="A14" t="s">
        <v>148</v>
      </c>
      <c r="B14" t="s">
        <v>11</v>
      </c>
      <c r="C14" t="s">
        <v>184</v>
      </c>
      <c r="D14" t="s">
        <v>148</v>
      </c>
      <c r="E14" t="s">
        <v>148</v>
      </c>
      <c r="F14" t="s">
        <v>12</v>
      </c>
      <c r="G14" t="s">
        <v>149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6063C-A3E8-4F0D-BBD3-83031D2833E6}">
  <dimension ref="A1:H7"/>
  <sheetViews>
    <sheetView tabSelected="1" zoomScaleNormal="100" workbookViewId="0">
      <selection activeCell="D14" sqref="D14"/>
    </sheetView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 t="s">
        <v>126</v>
      </c>
      <c r="B2" t="s">
        <v>126</v>
      </c>
      <c r="C2" t="s">
        <v>126</v>
      </c>
      <c r="D2" t="s">
        <v>126</v>
      </c>
      <c r="E2" t="s">
        <v>126</v>
      </c>
      <c r="F2" t="s">
        <v>127</v>
      </c>
      <c r="G2" t="s">
        <v>128</v>
      </c>
    </row>
    <row r="3" spans="1:8">
      <c r="A3" t="s">
        <v>129</v>
      </c>
      <c r="B3" t="s">
        <v>18</v>
      </c>
      <c r="C3" t="s">
        <v>130</v>
      </c>
      <c r="D3" t="s">
        <v>129</v>
      </c>
      <c r="E3" s="2" t="s">
        <v>131</v>
      </c>
      <c r="F3" t="s">
        <v>18</v>
      </c>
      <c r="G3" t="s">
        <v>10</v>
      </c>
    </row>
    <row r="4" spans="1:8">
      <c r="A4" t="s">
        <v>132</v>
      </c>
      <c r="B4" t="s">
        <v>185</v>
      </c>
      <c r="C4" t="s">
        <v>186</v>
      </c>
      <c r="D4" t="s">
        <v>132</v>
      </c>
      <c r="E4" t="s">
        <v>132</v>
      </c>
      <c r="F4" t="s">
        <v>133</v>
      </c>
      <c r="G4" t="s">
        <v>134</v>
      </c>
    </row>
    <row r="5" spans="1:8">
      <c r="A5" t="s">
        <v>135</v>
      </c>
      <c r="B5" t="s">
        <v>136</v>
      </c>
      <c r="C5" t="s">
        <v>137</v>
      </c>
      <c r="D5" t="s">
        <v>135</v>
      </c>
      <c r="E5" t="s">
        <v>138</v>
      </c>
      <c r="F5" s="2" t="s">
        <v>139</v>
      </c>
      <c r="G5" t="s">
        <v>10</v>
      </c>
    </row>
    <row r="6" spans="1:8">
      <c r="A6" t="s">
        <v>153</v>
      </c>
      <c r="B6" t="s">
        <v>188</v>
      </c>
      <c r="C6" t="s">
        <v>187</v>
      </c>
      <c r="D6" t="s">
        <v>153</v>
      </c>
      <c r="E6" t="s">
        <v>155</v>
      </c>
      <c r="F6" t="s">
        <v>154</v>
      </c>
      <c r="G6" t="s">
        <v>10</v>
      </c>
    </row>
    <row r="7" spans="1:8">
      <c r="A7" t="s">
        <v>199</v>
      </c>
      <c r="B7" t="s">
        <v>12</v>
      </c>
      <c r="C7" t="str">
        <f>_xlfn.CONCAT(D7, " ", B7)</f>
        <v>ISO1540DR 8-SOIC</v>
      </c>
      <c r="D7" t="s">
        <v>199</v>
      </c>
      <c r="E7" t="s">
        <v>198</v>
      </c>
      <c r="F7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clock</vt:lpstr>
      <vt:lpstr>logic</vt:lpstr>
      <vt:lpstr>mcu</vt:lpstr>
      <vt:lpstr>mcu_milandr</vt:lpstr>
      <vt:lpstr>memory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Олег Сурков</cp:lastModifiedBy>
  <dcterms:created xsi:type="dcterms:W3CDTF">2025-04-25T10:51:26Z</dcterms:created>
  <dcterms:modified xsi:type="dcterms:W3CDTF">2026-06-29T14:38:54Z</dcterms:modified>
</cp:coreProperties>
</file>