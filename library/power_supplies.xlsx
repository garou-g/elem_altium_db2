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871AB975-F8F0-4973-A299-E32A1A881C51}" xr6:coauthVersionLast="47" xr6:coauthVersionMax="47" xr10:uidLastSave="{00000000-0000-0000-0000-000000000000}"/>
  <bookViews>
    <workbookView xWindow="-28920" yWindow="-120" windowWidth="29040" windowHeight="15840" activeTab="4" xr2:uid="{EE2E7F00-6B54-4C0B-98D7-835E87062BAF}"/>
  </bookViews>
  <sheets>
    <sheet name="ac-dc" sheetId="1" r:id="rId1"/>
    <sheet name="bms" sheetId="2" r:id="rId2"/>
    <sheet name="dc-dc" sheetId="3" r:id="rId3"/>
    <sheet name="driver" sheetId="4" r:id="rId4"/>
    <sheet name="ldo" sheetId="5" r:id="rId5"/>
    <sheet name="misc" sheetId="6" r:id="rId6"/>
    <sheet name="power_mux" sheetId="7" r:id="rId7"/>
    <sheet name="power_switch" sheetId="8" r:id="rId8"/>
    <sheet name="Vref_source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2" i="5" l="1"/>
</calcChain>
</file>

<file path=xl/sharedStrings.xml><?xml version="1.0" encoding="utf-8"?>
<sst xmlns="http://schemas.openxmlformats.org/spreadsheetml/2006/main" count="670" uniqueCount="282">
  <si>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</si>
  <si>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</si>
  <si>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</si>
  <si>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</si>
  <si>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</si>
  <si>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</si>
  <si>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</si>
  <si>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</si>
  <si>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Texas Instruments</t>
  </si>
  <si>
    <t>8-SOIC</t>
  </si>
  <si>
    <t>SOP-8</t>
  </si>
  <si>
    <t>3PEAK</t>
  </si>
  <si>
    <t>Н04.16-1В</t>
  </si>
  <si>
    <t>IRM-90-24</t>
  </si>
  <si>
    <t>MEAN WELL</t>
  </si>
  <si>
    <t>BQ29700DSER</t>
  </si>
  <si>
    <t>WSON-6</t>
  </si>
  <si>
    <t>BQ29700DSER WSON-6</t>
  </si>
  <si>
    <t>BQ297xx</t>
  </si>
  <si>
    <t>6-WSON</t>
  </si>
  <si>
    <t>BQ24295RGET</t>
  </si>
  <si>
    <t>VQFN-24</t>
  </si>
  <si>
    <t>BQ24295RGET VQFN-24</t>
  </si>
  <si>
    <t>BQ24295</t>
  </si>
  <si>
    <t>24-QFN (4x4)</t>
  </si>
  <si>
    <t>BQ25756E</t>
  </si>
  <si>
    <t>36-QFN (5x6)</t>
  </si>
  <si>
    <t>BQ27441DRZR-G1A</t>
  </si>
  <si>
    <t>SON-12</t>
  </si>
  <si>
    <t xml:space="preserve">BQ27441DRZR-G1A SON-12 </t>
  </si>
  <si>
    <t>BQ27441-G1</t>
  </si>
  <si>
    <t>12-SON</t>
  </si>
  <si>
    <t>BQ27542DRZT-G1</t>
  </si>
  <si>
    <t>BQ27542DRZT-G1 SON-12</t>
  </si>
  <si>
    <t>BQ27542-G1</t>
  </si>
  <si>
    <t>SOT23-6</t>
  </si>
  <si>
    <t>LM1117IMP-3.3/NOPB</t>
  </si>
  <si>
    <t>SOT223</t>
  </si>
  <si>
    <t>LM1117IMP-3.3/NOPB SOT223</t>
  </si>
  <si>
    <t>LDO 3I1G2O4O</t>
  </si>
  <si>
    <t>LM1117IMP-5.0/NOPB</t>
  </si>
  <si>
    <t>LM1117IMP-5.0/NOPB SOT223</t>
  </si>
  <si>
    <t>LM1117IMP-ADJ/NOPB</t>
  </si>
  <si>
    <t>LM1117IMP-ADJ/NOPB SOT223</t>
  </si>
  <si>
    <t>LM1117MP-1.8/NOPB</t>
  </si>
  <si>
    <t>LM1117MP-1.8/NOPB SOT223</t>
  </si>
  <si>
    <t>LM1117MP-2.5/NOPB</t>
  </si>
  <si>
    <t>LM1117MP-2.5/NOPB SOT223</t>
  </si>
  <si>
    <t>TLV1117-15CDCY</t>
  </si>
  <si>
    <t>TLV1117-15CDCY SOT223</t>
  </si>
  <si>
    <t>TLV1117-18CDCY</t>
  </si>
  <si>
    <t>TLV1117-18CDCY SOT223</t>
  </si>
  <si>
    <t>TLV1117-25CDCY</t>
  </si>
  <si>
    <t>TLV1117-25CDCY SOT223</t>
  </si>
  <si>
    <t>TLV1117-33CDCY</t>
  </si>
  <si>
    <t>TLV1117-33CDCY SOT223</t>
  </si>
  <si>
    <t>TLV1117-50CDCY</t>
  </si>
  <si>
    <t>TLV1117-50CDCY SOT223</t>
  </si>
  <si>
    <t>TLV1117CDCY</t>
  </si>
  <si>
    <t>TLV1117CDCY SOT223</t>
  </si>
  <si>
    <t>LDO 3I1A2O4O</t>
  </si>
  <si>
    <t>TLV1117LV12DCY</t>
  </si>
  <si>
    <t>TLV1117LV12DCY SOT223</t>
  </si>
  <si>
    <t>TLV1117LV15DCY</t>
  </si>
  <si>
    <t>TLV1117LV15DCY SOT223</t>
  </si>
  <si>
    <t>TLV1117LV18DCY</t>
  </si>
  <si>
    <t>TLV1117LV18DCY SOT223</t>
  </si>
  <si>
    <t>TLV1117LV25DCY</t>
  </si>
  <si>
    <t>TLV1117LV25DCY SOT223</t>
  </si>
  <si>
    <t>TLV1117LV28DCY</t>
  </si>
  <si>
    <t>TLV1117LV28DCY SOT223</t>
  </si>
  <si>
    <t>TLV1117LV30DCY</t>
  </si>
  <si>
    <t>TLV1117LV30DCY SOT223</t>
  </si>
  <si>
    <t>TLV1117LV33DCY</t>
  </si>
  <si>
    <t>TLV1117LV33DCY SOT223</t>
  </si>
  <si>
    <t>TPS73630DBVR</t>
  </si>
  <si>
    <t>SOT23-5</t>
  </si>
  <si>
    <t>TPS73630DBVR SOT23-5</t>
  </si>
  <si>
    <t>TPS73xxxDBV</t>
  </si>
  <si>
    <t>TPS73633DBVR</t>
  </si>
  <si>
    <t>TPS73633DBVR SOT23-5</t>
  </si>
  <si>
    <t>TPS73201DBVR</t>
  </si>
  <si>
    <t>TPS73201DBVR SOT23-5</t>
  </si>
  <si>
    <t>TPS73230DBVR</t>
  </si>
  <si>
    <t xml:space="preserve">TPS73230DBVR SOT23-5 </t>
  </si>
  <si>
    <t>TPS73233DBVR</t>
  </si>
  <si>
    <t xml:space="preserve">TPS73233DBVR SOT23-5 </t>
  </si>
  <si>
    <t>LM8805SF5-ADJ</t>
  </si>
  <si>
    <t xml:space="preserve">LM8805SF5-ADJ SOT23-5 </t>
  </si>
  <si>
    <t>LM8805SF5</t>
  </si>
  <si>
    <t>HTC Taejin</t>
  </si>
  <si>
    <t>LM8805SF5-1.2</t>
  </si>
  <si>
    <t xml:space="preserve">LM8805SF5-1.2 SOT23-5 </t>
  </si>
  <si>
    <t>LM8805SF5-1.8</t>
  </si>
  <si>
    <t xml:space="preserve">LM8805SF5-1.8 SOT23-5 </t>
  </si>
  <si>
    <t>LM8805SF5-2.5</t>
  </si>
  <si>
    <t xml:space="preserve">LM8805SF5-2.5 SOT23-5 </t>
  </si>
  <si>
    <t>LM8805SF5-3.3</t>
  </si>
  <si>
    <t xml:space="preserve">LM8805SF5-3.3 SOT23-5 </t>
  </si>
  <si>
    <t>TPL740ADJ-5TR</t>
  </si>
  <si>
    <t>BNX022-01L</t>
  </si>
  <si>
    <t>Murata Electronics</t>
  </si>
  <si>
    <t>MAX6495ATT+T</t>
  </si>
  <si>
    <t>MAX6495</t>
  </si>
  <si>
    <t>6-DFN</t>
  </si>
  <si>
    <t>Maxim Integrated</t>
  </si>
  <si>
    <t>590КН4</t>
  </si>
  <si>
    <t>402.16-23.01</t>
  </si>
  <si>
    <t>590КН4 402.16-23.01</t>
  </si>
  <si>
    <t>бКО.348.209-05ТУ</t>
  </si>
  <si>
    <t>TPS2110APW</t>
  </si>
  <si>
    <t>TSSOP-8</t>
  </si>
  <si>
    <t>TPS2110APW TSSOP-8</t>
  </si>
  <si>
    <t>TPS211xA</t>
  </si>
  <si>
    <t>8-TSSOP</t>
  </si>
  <si>
    <t>TPS2111APW</t>
  </si>
  <si>
    <t>TPS2111APW TSSOP-8</t>
  </si>
  <si>
    <t>TPS2044BD</t>
  </si>
  <si>
    <t>SOIC-16</t>
  </si>
  <si>
    <t>TPS2044BD SOIC-16</t>
  </si>
  <si>
    <t>TPS2044</t>
  </si>
  <si>
    <t>16-SOIC</t>
  </si>
  <si>
    <t>DIO7553ST6</t>
  </si>
  <si>
    <t>DIO7553ST6 SOT23-6</t>
  </si>
  <si>
    <t>DIOO</t>
  </si>
  <si>
    <t>FDC6329L</t>
  </si>
  <si>
    <t>FDC6329L SOT23-6</t>
  </si>
  <si>
    <t>ON Semiconductor</t>
  </si>
  <si>
    <t>TPS22918DBVT</t>
  </si>
  <si>
    <t xml:space="preserve">TPS22918DBVT SOT23-6 </t>
  </si>
  <si>
    <t>TPS22918</t>
  </si>
  <si>
    <t>1308ЕУ3АУ</t>
  </si>
  <si>
    <t>Н04.16-2В</t>
  </si>
  <si>
    <t>1308ЕУ3АУ Н04.16-2В</t>
  </si>
  <si>
    <t>АЕЯР.431420.665ТУ</t>
  </si>
  <si>
    <t>TLC5946PW</t>
  </si>
  <si>
    <t>TSSOP-28</t>
  </si>
  <si>
    <t xml:space="preserve">TLC5946PW TSSOP-28 </t>
  </si>
  <si>
    <t>28-TSSOP</t>
  </si>
  <si>
    <t>UCC27519AQDBVRQ1</t>
  </si>
  <si>
    <t>UCC27519AQDBVRQ1 SOT23-5</t>
  </si>
  <si>
    <t>UCC2751xA</t>
  </si>
  <si>
    <t>LM2734XMKX/NOPB</t>
  </si>
  <si>
    <t>LM2734XMKX/NOPB SOT23-6</t>
  </si>
  <si>
    <t>LM2734XMK</t>
  </si>
  <si>
    <t>MAX1674EUA</t>
  </si>
  <si>
    <t>8-MSOP</t>
  </si>
  <si>
    <t>MAX17630</t>
  </si>
  <si>
    <t>16L eMGA</t>
  </si>
  <si>
    <t>MAX17360 16L eMGA</t>
  </si>
  <si>
    <t>MAX1763x</t>
  </si>
  <si>
    <t>Analog Devices</t>
  </si>
  <si>
    <t>MAX17631</t>
  </si>
  <si>
    <t>MAX17361 16L eMGA</t>
  </si>
  <si>
    <t>MAX16977RATE/V+</t>
  </si>
  <si>
    <t>TQFN-EP-16</t>
  </si>
  <si>
    <t>MAX16977RATE/V+ TQFN-EP-16</t>
  </si>
  <si>
    <t>MAX16977</t>
  </si>
  <si>
    <t>16-QFN (5x5)</t>
  </si>
  <si>
    <t>TD1410P</t>
  </si>
  <si>
    <t>TD1410P SOP-8</t>
  </si>
  <si>
    <t>Techcode Semicon</t>
  </si>
  <si>
    <t>TPP60508</t>
  </si>
  <si>
    <t>DFN-10</t>
  </si>
  <si>
    <t>TPP60508 DFN-10</t>
  </si>
  <si>
    <t>10-DFN (4x4)</t>
  </si>
  <si>
    <t>TPS54335ADDAR</t>
  </si>
  <si>
    <t>8-SOIC (PAD)</t>
  </si>
  <si>
    <t>TPS5433xA</t>
  </si>
  <si>
    <t>TPS54360DDAR</t>
  </si>
  <si>
    <t>TPS54360</t>
  </si>
  <si>
    <t>ONSEMI</t>
  </si>
  <si>
    <r>
      <t>LP2951</t>
    </r>
    <r>
      <rPr>
        <sz val="10"/>
        <color rgb="FF000000"/>
        <rFont val="Inter"/>
      </rPr>
      <t>ACDG</t>
    </r>
  </si>
  <si>
    <t>LP2951</t>
  </si>
  <si>
    <t>TPL740ADJ-5TR SOT23-5</t>
  </si>
  <si>
    <t>LMC7660</t>
  </si>
  <si>
    <t>LMC7660IM</t>
  </si>
  <si>
    <t>LM2776</t>
  </si>
  <si>
    <t>SuperSOT6</t>
  </si>
  <si>
    <t>LM2776DBVR</t>
  </si>
  <si>
    <t>LM2776DBVR SuperSOT6</t>
  </si>
  <si>
    <t>SOT23</t>
  </si>
  <si>
    <t>XC6206P122</t>
  </si>
  <si>
    <t>XC6206P122 SOT23</t>
  </si>
  <si>
    <t>Torex</t>
  </si>
  <si>
    <t>XC6206P</t>
  </si>
  <si>
    <t>IRM-10-12</t>
  </si>
  <si>
    <t>TEN 5-1211</t>
  </si>
  <si>
    <t>TRACO POWER</t>
  </si>
  <si>
    <t>AD1582ARTZ</t>
  </si>
  <si>
    <t>AD1582ARTZ SOT23</t>
  </si>
  <si>
    <t>AD158x</t>
  </si>
  <si>
    <t>L79Lxx</t>
  </si>
  <si>
    <t>L79L05ABUTR</t>
  </si>
  <si>
    <t>SOT89</t>
  </si>
  <si>
    <t>L79L05ABUTR SOT89</t>
  </si>
  <si>
    <t>STMicroelectronics</t>
  </si>
  <si>
    <t>LT8330</t>
  </si>
  <si>
    <t>MIC29502</t>
  </si>
  <si>
    <t>TO-263-6</t>
  </si>
  <si>
    <t>Microchip</t>
  </si>
  <si>
    <t>TPS61175</t>
  </si>
  <si>
    <r>
      <t>MIC29502</t>
    </r>
    <r>
      <rPr>
        <sz val="10"/>
        <color rgb="FF000000"/>
        <rFont val="Inter"/>
      </rPr>
      <t>WU</t>
    </r>
  </si>
  <si>
    <r>
      <t>TPS61175</t>
    </r>
    <r>
      <rPr>
        <sz val="11"/>
        <color rgb="FF000000"/>
        <rFont val="Calibri"/>
        <family val="2"/>
        <charset val="204"/>
        <scheme val="minor"/>
      </rPr>
      <t>PWP</t>
    </r>
  </si>
  <si>
    <t>14-TSOP-EP</t>
  </si>
  <si>
    <r>
      <t>LT8330</t>
    </r>
    <r>
      <rPr>
        <sz val="11"/>
        <color rgb="FF000000"/>
        <rFont val="Calibri"/>
        <family val="2"/>
        <charset val="204"/>
        <scheme val="minor"/>
      </rPr>
      <t>HS6</t>
    </r>
  </si>
  <si>
    <t>142ЕН12</t>
  </si>
  <si>
    <t>бКО.347.098-11 ТУ</t>
  </si>
  <si>
    <t>TO-263-3</t>
  </si>
  <si>
    <t>LM1117SX-5.0</t>
  </si>
  <si>
    <t>LM1117SX-5.0 TO-263-3</t>
  </si>
  <si>
    <t>HRP5</t>
  </si>
  <si>
    <t>BD00FDAWHFP</t>
  </si>
  <si>
    <t>BD00FDAWHFP HRP5</t>
  </si>
  <si>
    <t>ROHM</t>
  </si>
  <si>
    <t>LT3093EMSE</t>
  </si>
  <si>
    <t>LT3093</t>
  </si>
  <si>
    <t>VDRI30B15</t>
  </si>
  <si>
    <t>VDRI30</t>
  </si>
  <si>
    <t>Voltbriks</t>
  </si>
  <si>
    <t>LM2733</t>
  </si>
  <si>
    <t>LM2733 SOT23-5</t>
  </si>
  <si>
    <t>LM2733XMFX/NOPB</t>
  </si>
  <si>
    <t>UC348x</t>
  </si>
  <si>
    <t>LT3757</t>
  </si>
  <si>
    <t>LT3757EMSE</t>
  </si>
  <si>
    <t>10-MSOP (PAD)</t>
  </si>
  <si>
    <t>QFN-36</t>
  </si>
  <si>
    <t>BQ25756E QFN-36</t>
  </si>
  <si>
    <t>MSOP-8</t>
  </si>
  <si>
    <t>MAX1674EUA MSOP-8</t>
  </si>
  <si>
    <t>SOIC-8</t>
  </si>
  <si>
    <t>TPS54335ADDAR SOIC-8</t>
  </si>
  <si>
    <t>TPS54360DDAR SOIC-8</t>
  </si>
  <si>
    <t>LMC7660IM SOIC-8</t>
  </si>
  <si>
    <t>LT3757EMSE MSOP-10</t>
  </si>
  <si>
    <t>MSOP-10</t>
  </si>
  <si>
    <t>LP2951ACDG SOIC-8</t>
  </si>
  <si>
    <t>MIC29502 TO-263-6</t>
  </si>
  <si>
    <t>MSOP-12</t>
  </si>
  <si>
    <t>LT3093EMSE MSOP-12</t>
  </si>
  <si>
    <t>TDFN-6</t>
  </si>
  <si>
    <t>MAX6495ATT+T TDFN-6</t>
  </si>
  <si>
    <t>LM27762DSS</t>
  </si>
  <si>
    <t>12-WSON</t>
  </si>
  <si>
    <t>LM27762</t>
  </si>
  <si>
    <t>LM27762DSS 12-WSON</t>
  </si>
  <si>
    <t>LM217T</t>
  </si>
  <si>
    <t>12-MSOP W (PAD)</t>
  </si>
  <si>
    <t>LM217MDT</t>
  </si>
  <si>
    <t>TO-252-2</t>
  </si>
  <si>
    <t>LM217MDT TO-252-2</t>
  </si>
  <si>
    <t>UCx825</t>
  </si>
  <si>
    <r>
      <t>UC3825</t>
    </r>
    <r>
      <rPr>
        <sz val="11"/>
        <color rgb="FF000000"/>
        <rFont val="Calibri"/>
        <family val="2"/>
        <charset val="204"/>
        <scheme val="minor"/>
      </rPr>
      <t>BDW</t>
    </r>
  </si>
  <si>
    <r>
      <t>UC3825</t>
    </r>
    <r>
      <rPr>
        <sz val="11"/>
        <color rgb="FF000000"/>
        <rFont val="Calibri"/>
        <family val="2"/>
        <charset val="204"/>
        <scheme val="minor"/>
      </rPr>
      <t>BDW</t>
    </r>
    <r>
      <rPr>
        <sz val="11"/>
        <color theme="1"/>
        <rFont val="Calibri"/>
        <family val="2"/>
        <charset val="204"/>
        <scheme val="minor"/>
      </rPr>
      <t xml:space="preserve"> 16-SOIC</t>
    </r>
  </si>
  <si>
    <r>
      <t>TPS61175</t>
    </r>
    <r>
      <rPr>
        <sz val="11"/>
        <color rgb="FF000000"/>
        <rFont val="Calibri"/>
        <family val="2"/>
        <charset val="204"/>
        <scheme val="minor"/>
      </rPr>
      <t>PWP</t>
    </r>
    <r>
      <rPr>
        <sz val="11"/>
        <color theme="1"/>
        <rFont val="Calibri"/>
        <family val="2"/>
        <charset val="204"/>
        <scheme val="minor"/>
      </rPr>
      <t xml:space="preserve"> TSOP-14</t>
    </r>
  </si>
  <si>
    <r>
      <t>LT8330</t>
    </r>
    <r>
      <rPr>
        <sz val="11"/>
        <color rgb="FF000000"/>
        <rFont val="Calibri"/>
        <family val="2"/>
        <charset val="204"/>
        <scheme val="minor"/>
      </rPr>
      <t>HS6</t>
    </r>
    <r>
      <rPr>
        <sz val="11"/>
        <color theme="1"/>
        <rFont val="Calibri"/>
        <family val="2"/>
        <charset val="204"/>
        <scheme val="minor"/>
      </rPr>
      <t xml:space="preserve"> SOT23-6</t>
    </r>
  </si>
  <si>
    <r>
      <t>UC3843</t>
    </r>
    <r>
      <rPr>
        <sz val="11"/>
        <color rgb="FF000000"/>
        <rFont val="Calibri"/>
        <family val="2"/>
        <charset val="204"/>
        <scheme val="minor"/>
      </rPr>
      <t>AD8</t>
    </r>
  </si>
  <si>
    <r>
      <t>UC3843</t>
    </r>
    <r>
      <rPr>
        <sz val="11"/>
        <color rgb="FF000000"/>
        <rFont val="Calibri"/>
        <family val="2"/>
        <charset val="204"/>
        <scheme val="minor"/>
      </rPr>
      <t>AD8</t>
    </r>
    <r>
      <rPr>
        <sz val="11"/>
        <color theme="1"/>
        <rFont val="Calibri"/>
        <family val="2"/>
        <charset val="204"/>
        <scheme val="minor"/>
      </rPr>
      <t xml:space="preserve"> SOIC-8</t>
    </r>
  </si>
  <si>
    <t>16-SOIC (W)</t>
  </si>
  <si>
    <t>UC2825</t>
  </si>
  <si>
    <t>UC2825DWTR</t>
  </si>
  <si>
    <t>UC2825DWTR 16-SOIC (W)</t>
  </si>
  <si>
    <t>SG2525A</t>
  </si>
  <si>
    <t>SG2525AP013TR</t>
  </si>
  <si>
    <t>SG2525AP013TR 16-SOIC</t>
  </si>
  <si>
    <t>АЕЯР.431420.007-02ТУ</t>
  </si>
  <si>
    <t>1156ЕУ2</t>
  </si>
  <si>
    <t>TO-220</t>
  </si>
  <si>
    <t>LM217T TO-220</t>
  </si>
  <si>
    <t>URB2405LD-20WR3</t>
  </si>
  <si>
    <t>Mornsun Power</t>
  </si>
  <si>
    <t>HY2213</t>
  </si>
  <si>
    <t>HY2213-BB3A</t>
  </si>
  <si>
    <t>HY2213-BB3A SOT23-6</t>
  </si>
  <si>
    <t>HYCON</t>
  </si>
  <si>
    <t>LM317AMDT</t>
  </si>
  <si>
    <t>LDO 3I2O1A</t>
  </si>
  <si>
    <t>LM317AMDT TO-252-2</t>
  </si>
  <si>
    <t>SOT-23</t>
  </si>
  <si>
    <t>Diode Zener_adj</t>
  </si>
  <si>
    <t>TL431AQDBZR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</si>
</sst>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0" fillId="0" borderId="0" xfId="0" applyAlignment="1">
      <alignment wrapText="1"/>
    </xf>
  </cellXfs>
  <cellStyles count="2">
    <cellStyle name="Accent 3 2" xfId="1" xr:uid="{07D6D35A-A25D-4183-ACA2-756DA14CBAEA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H3"/>
  <sheetViews>
    <sheetView zoomScale="140" zoomScaleNormal="14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13</v>
      </c>
      <c r="B2" s="2" t="s">
        <v>13</v>
      </c>
      <c r="C2" s="2" t="s">
        <v>13</v>
      </c>
      <c r="D2" s="2" t="s">
        <v>13</v>
      </c>
      <c r="E2" s="2" t="s">
        <v>13</v>
      </c>
      <c r="F2" s="2" t="s">
        <v>13</v>
      </c>
      <c r="G2" t="s">
        <v>14</v>
      </c>
    </row>
    <row r="3" spans="1:8">
      <c r="A3" s="2" t="s">
        <v>186</v>
      </c>
      <c r="B3" s="2" t="s">
        <v>186</v>
      </c>
      <c r="C3" s="2" t="s">
        <v>186</v>
      </c>
      <c r="D3" s="2" t="s">
        <v>186</v>
      </c>
      <c r="E3" s="2" t="s">
        <v>13</v>
      </c>
      <c r="F3" s="2" t="s">
        <v>186</v>
      </c>
      <c r="G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H7"/>
  <sheetViews>
    <sheetView zoomScaleNormal="100" workbookViewId="0">
      <selection activeCell="A8" sqref="A8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15</v>
      </c>
      <c r="B2" t="s">
        <v>16</v>
      </c>
      <c r="C2" t="s">
        <v>17</v>
      </c>
      <c r="D2" t="s">
        <v>15</v>
      </c>
      <c r="E2" t="s">
        <v>18</v>
      </c>
      <c r="F2" t="s">
        <v>19</v>
      </c>
      <c r="G2" t="s">
        <v>8</v>
      </c>
    </row>
    <row r="3" spans="1:8" ht="18.75" customHeight="1">
      <c r="A3" s="2" t="s">
        <v>20</v>
      </c>
      <c r="B3" s="3" t="s">
        <v>21</v>
      </c>
      <c r="C3" s="2" t="s">
        <v>22</v>
      </c>
      <c r="D3" s="2" t="s">
        <v>20</v>
      </c>
      <c r="E3" s="2" t="s">
        <v>23</v>
      </c>
      <c r="F3" s="2" t="s">
        <v>24</v>
      </c>
      <c r="G3" s="3" t="s">
        <v>8</v>
      </c>
    </row>
    <row r="4" spans="1:8">
      <c r="A4" t="s">
        <v>25</v>
      </c>
      <c r="B4" s="2" t="s">
        <v>227</v>
      </c>
      <c r="C4" t="s">
        <v>228</v>
      </c>
      <c r="D4" t="s">
        <v>25</v>
      </c>
      <c r="E4" t="s">
        <v>25</v>
      </c>
      <c r="F4" s="2" t="s">
        <v>26</v>
      </c>
      <c r="G4" s="3" t="s">
        <v>8</v>
      </c>
    </row>
    <row r="5" spans="1:8">
      <c r="A5" s="2" t="s">
        <v>27</v>
      </c>
      <c r="B5" t="s">
        <v>28</v>
      </c>
      <c r="C5" s="2" t="s">
        <v>29</v>
      </c>
      <c r="D5" s="2" t="s">
        <v>27</v>
      </c>
      <c r="E5" t="s">
        <v>30</v>
      </c>
      <c r="F5" t="s">
        <v>31</v>
      </c>
      <c r="G5" t="s">
        <v>8</v>
      </c>
    </row>
    <row r="6" spans="1:8">
      <c r="A6" s="2" t="s">
        <v>32</v>
      </c>
      <c r="B6" t="s">
        <v>28</v>
      </c>
      <c r="C6" t="s">
        <v>33</v>
      </c>
      <c r="D6" t="s">
        <v>32</v>
      </c>
      <c r="E6" t="s">
        <v>34</v>
      </c>
      <c r="F6" t="s">
        <v>31</v>
      </c>
      <c r="G6" t="s">
        <v>8</v>
      </c>
    </row>
    <row r="7" spans="1:8">
      <c r="A7" t="s">
        <v>273</v>
      </c>
      <c r="B7" t="s">
        <v>35</v>
      </c>
      <c r="C7" t="s">
        <v>274</v>
      </c>
      <c r="D7" t="s">
        <v>273</v>
      </c>
      <c r="E7" t="s">
        <v>272</v>
      </c>
      <c r="F7" t="s">
        <v>35</v>
      </c>
      <c r="G7" t="s">
        <v>275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D8C3D-D832-496B-AB92-259D2AD291EC}">
  <dimension ref="A1:I29"/>
  <sheetViews>
    <sheetView zoomScaleNormal="100" workbookViewId="0">
      <selection activeCell="F2" sqref="F2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>
      <c r="A2" t="s">
        <v>142</v>
      </c>
      <c r="B2" t="s">
        <v>35</v>
      </c>
      <c r="C2" t="s">
        <v>143</v>
      </c>
      <c r="D2" t="s">
        <v>142</v>
      </c>
      <c r="E2" t="s">
        <v>144</v>
      </c>
      <c r="F2" t="s">
        <v>35</v>
      </c>
      <c r="G2" t="s">
        <v>8</v>
      </c>
    </row>
    <row r="3" spans="1:9">
      <c r="A3" s="2" t="s">
        <v>145</v>
      </c>
      <c r="B3" t="s">
        <v>229</v>
      </c>
      <c r="C3" t="s">
        <v>230</v>
      </c>
      <c r="D3" t="s">
        <v>145</v>
      </c>
      <c r="E3" s="2" t="s">
        <v>145</v>
      </c>
      <c r="F3" t="s">
        <v>146</v>
      </c>
      <c r="G3" t="s">
        <v>105</v>
      </c>
    </row>
    <row r="4" spans="1:9">
      <c r="A4" s="2" t="s">
        <v>147</v>
      </c>
      <c r="B4" s="2" t="s">
        <v>148</v>
      </c>
      <c r="C4" s="2" t="s">
        <v>149</v>
      </c>
      <c r="D4" s="2" t="s">
        <v>147</v>
      </c>
      <c r="E4" s="2" t="s">
        <v>150</v>
      </c>
      <c r="F4" s="2" t="s">
        <v>148</v>
      </c>
      <c r="G4" s="2" t="s">
        <v>151</v>
      </c>
    </row>
    <row r="5" spans="1:9">
      <c r="A5" s="2" t="s">
        <v>152</v>
      </c>
      <c r="B5" s="2" t="s">
        <v>148</v>
      </c>
      <c r="C5" s="2" t="s">
        <v>153</v>
      </c>
      <c r="D5" s="2" t="s">
        <v>152</v>
      </c>
      <c r="E5" s="2" t="s">
        <v>150</v>
      </c>
      <c r="F5" s="2" t="s">
        <v>148</v>
      </c>
      <c r="G5" s="2" t="s">
        <v>151</v>
      </c>
      <c r="H5" s="2"/>
      <c r="I5" s="2"/>
    </row>
    <row r="6" spans="1:9">
      <c r="A6" s="2" t="s">
        <v>154</v>
      </c>
      <c r="B6" s="2" t="s">
        <v>155</v>
      </c>
      <c r="C6" s="2" t="s">
        <v>156</v>
      </c>
      <c r="D6" s="2" t="s">
        <v>154</v>
      </c>
      <c r="E6" s="2" t="s">
        <v>157</v>
      </c>
      <c r="F6" s="2" t="s">
        <v>158</v>
      </c>
      <c r="G6" s="2" t="s">
        <v>105</v>
      </c>
      <c r="H6" s="2"/>
      <c r="I6" s="2"/>
    </row>
    <row r="7" spans="1:9">
      <c r="A7" s="2" t="s">
        <v>159</v>
      </c>
      <c r="B7" s="2" t="s">
        <v>10</v>
      </c>
      <c r="C7" s="2" t="s">
        <v>160</v>
      </c>
      <c r="D7" s="2" t="s">
        <v>159</v>
      </c>
      <c r="E7" s="2" t="s">
        <v>159</v>
      </c>
      <c r="F7" s="2" t="s">
        <v>9</v>
      </c>
      <c r="G7" s="2" t="s">
        <v>161</v>
      </c>
      <c r="H7" s="2"/>
      <c r="I7" s="2"/>
    </row>
    <row r="8" spans="1:9">
      <c r="A8" s="2" t="s">
        <v>162</v>
      </c>
      <c r="B8" s="2" t="s">
        <v>163</v>
      </c>
      <c r="C8" s="2" t="s">
        <v>164</v>
      </c>
      <c r="D8" s="2" t="s">
        <v>162</v>
      </c>
      <c r="E8" s="2" t="s">
        <v>162</v>
      </c>
      <c r="F8" s="2" t="s">
        <v>165</v>
      </c>
      <c r="G8" s="2" t="s">
        <v>11</v>
      </c>
      <c r="H8" s="2"/>
      <c r="I8" s="2"/>
    </row>
    <row r="9" spans="1:9">
      <c r="A9" s="2" t="s">
        <v>166</v>
      </c>
      <c r="B9" s="2" t="s">
        <v>231</v>
      </c>
      <c r="C9" s="2" t="s">
        <v>232</v>
      </c>
      <c r="D9" s="2" t="s">
        <v>166</v>
      </c>
      <c r="E9" s="2" t="s">
        <v>168</v>
      </c>
      <c r="F9" s="2" t="s">
        <v>167</v>
      </c>
      <c r="G9" s="2" t="s">
        <v>8</v>
      </c>
      <c r="H9" s="2"/>
      <c r="I9" s="2"/>
    </row>
    <row r="10" spans="1:9">
      <c r="A10" s="2" t="s">
        <v>169</v>
      </c>
      <c r="B10" s="2" t="s">
        <v>231</v>
      </c>
      <c r="C10" s="2" t="s">
        <v>233</v>
      </c>
      <c r="D10" s="2" t="s">
        <v>169</v>
      </c>
      <c r="E10" s="2" t="s">
        <v>170</v>
      </c>
      <c r="F10" s="2" t="s">
        <v>167</v>
      </c>
      <c r="G10" s="2" t="s">
        <v>8</v>
      </c>
      <c r="H10" s="2"/>
      <c r="I10" s="2"/>
    </row>
    <row r="11" spans="1:9">
      <c r="A11" s="2" t="s">
        <v>176</v>
      </c>
      <c r="B11" s="2" t="s">
        <v>231</v>
      </c>
      <c r="C11" s="2" t="s">
        <v>234</v>
      </c>
      <c r="D11" s="2" t="s">
        <v>176</v>
      </c>
      <c r="E11" s="2" t="s">
        <v>175</v>
      </c>
      <c r="F11" s="2" t="s">
        <v>9</v>
      </c>
      <c r="G11" s="2" t="s">
        <v>8</v>
      </c>
      <c r="H11" s="2"/>
      <c r="I11" s="2"/>
    </row>
    <row r="12" spans="1:9">
      <c r="A12" s="2" t="s">
        <v>179</v>
      </c>
      <c r="B12" s="2" t="s">
        <v>178</v>
      </c>
      <c r="C12" s="2" t="s">
        <v>180</v>
      </c>
      <c r="D12" s="2" t="s">
        <v>179</v>
      </c>
      <c r="E12" s="2" t="s">
        <v>177</v>
      </c>
      <c r="F12" s="2" t="s">
        <v>178</v>
      </c>
      <c r="G12" s="2" t="s">
        <v>8</v>
      </c>
      <c r="H12" s="2"/>
      <c r="I12" s="2"/>
    </row>
    <row r="13" spans="1:9">
      <c r="A13" s="2" t="s">
        <v>187</v>
      </c>
      <c r="B13" s="2" t="s">
        <v>187</v>
      </c>
      <c r="C13" s="2" t="s">
        <v>187</v>
      </c>
      <c r="D13" s="2" t="s">
        <v>187</v>
      </c>
      <c r="E13" s="2" t="s">
        <v>187</v>
      </c>
      <c r="F13" s="2" t="s">
        <v>187</v>
      </c>
      <c r="G13" s="2" t="s">
        <v>188</v>
      </c>
      <c r="H13" s="2"/>
      <c r="I13" s="2"/>
    </row>
    <row r="14" spans="1:9">
      <c r="A14" s="2" t="s">
        <v>203</v>
      </c>
      <c r="B14" s="2" t="s">
        <v>204</v>
      </c>
      <c r="C14" s="2" t="s">
        <v>255</v>
      </c>
      <c r="D14" s="2" t="s">
        <v>203</v>
      </c>
      <c r="E14" s="2" t="s">
        <v>201</v>
      </c>
      <c r="F14" s="2" t="s">
        <v>204</v>
      </c>
      <c r="G14" s="2" t="s">
        <v>8</v>
      </c>
      <c r="H14" s="2"/>
      <c r="I14" s="2"/>
    </row>
    <row r="15" spans="1:9">
      <c r="A15" s="2" t="s">
        <v>205</v>
      </c>
      <c r="B15" s="2" t="s">
        <v>35</v>
      </c>
      <c r="C15" s="2" t="s">
        <v>256</v>
      </c>
      <c r="D15" s="2" t="s">
        <v>205</v>
      </c>
      <c r="E15" s="2" t="s">
        <v>197</v>
      </c>
      <c r="F15" s="2" t="s">
        <v>35</v>
      </c>
      <c r="G15" s="2" t="s">
        <v>151</v>
      </c>
      <c r="H15" s="2"/>
      <c r="I15" s="2"/>
    </row>
    <row r="16" spans="1:9">
      <c r="A16" s="2" t="s">
        <v>217</v>
      </c>
      <c r="B16" s="2" t="s">
        <v>218</v>
      </c>
      <c r="C16" s="2" t="s">
        <v>217</v>
      </c>
      <c r="D16" s="2" t="s">
        <v>217</v>
      </c>
      <c r="E16" s="2" t="s">
        <v>217</v>
      </c>
      <c r="F16" s="2" t="s">
        <v>218</v>
      </c>
      <c r="G16" s="2" t="s">
        <v>219</v>
      </c>
      <c r="H16" s="2"/>
      <c r="I16" s="2"/>
    </row>
    <row r="17" spans="1:9">
      <c r="A17" s="2" t="s">
        <v>222</v>
      </c>
      <c r="B17" s="2" t="s">
        <v>76</v>
      </c>
      <c r="C17" s="2" t="s">
        <v>221</v>
      </c>
      <c r="D17" s="2" t="s">
        <v>220</v>
      </c>
      <c r="E17" s="2" t="s">
        <v>220</v>
      </c>
      <c r="F17" s="2" t="s">
        <v>76</v>
      </c>
      <c r="G17" s="2" t="s">
        <v>8</v>
      </c>
      <c r="H17" s="2"/>
      <c r="I17" s="2"/>
    </row>
    <row r="18" spans="1:9">
      <c r="A18" s="2" t="s">
        <v>257</v>
      </c>
      <c r="B18" s="2" t="s">
        <v>231</v>
      </c>
      <c r="C18" s="2" t="s">
        <v>258</v>
      </c>
      <c r="D18" s="2" t="s">
        <v>257</v>
      </c>
      <c r="E18" s="2" t="s">
        <v>223</v>
      </c>
      <c r="F18" s="2" t="s">
        <v>9</v>
      </c>
      <c r="G18" s="2" t="s">
        <v>8</v>
      </c>
      <c r="H18" s="2"/>
      <c r="I18" s="2"/>
    </row>
    <row r="19" spans="1:9">
      <c r="A19" s="2" t="s">
        <v>225</v>
      </c>
      <c r="B19" s="2" t="s">
        <v>236</v>
      </c>
      <c r="C19" s="2" t="s">
        <v>235</v>
      </c>
      <c r="D19" s="2" t="s">
        <v>225</v>
      </c>
      <c r="E19" s="2" t="s">
        <v>224</v>
      </c>
      <c r="F19" s="2" t="s">
        <v>226</v>
      </c>
      <c r="G19" s="2" t="s">
        <v>151</v>
      </c>
      <c r="H19" s="2"/>
      <c r="I19" s="2"/>
    </row>
    <row r="20" spans="1:9">
      <c r="A20" s="2" t="s">
        <v>243</v>
      </c>
      <c r="B20" s="2" t="s">
        <v>244</v>
      </c>
      <c r="C20" s="2" t="s">
        <v>246</v>
      </c>
      <c r="D20" s="2" t="s">
        <v>243</v>
      </c>
      <c r="E20" s="2" t="s">
        <v>245</v>
      </c>
      <c r="F20" s="2" t="s">
        <v>244</v>
      </c>
      <c r="G20" s="2" t="s">
        <v>8</v>
      </c>
      <c r="H20" s="2"/>
      <c r="I20" s="2"/>
    </row>
    <row r="21" spans="1:9">
      <c r="A21" s="2" t="s">
        <v>253</v>
      </c>
      <c r="B21" s="2" t="s">
        <v>121</v>
      </c>
      <c r="C21" s="2" t="s">
        <v>254</v>
      </c>
      <c r="D21" s="2" t="s">
        <v>253</v>
      </c>
      <c r="E21" s="2" t="s">
        <v>252</v>
      </c>
      <c r="F21" s="2" t="s">
        <v>121</v>
      </c>
      <c r="G21" s="2" t="s">
        <v>8</v>
      </c>
      <c r="H21" s="2"/>
      <c r="I21" s="2"/>
    </row>
    <row r="22" spans="1:9">
      <c r="A22" s="2" t="s">
        <v>261</v>
      </c>
      <c r="B22" s="2" t="s">
        <v>259</v>
      </c>
      <c r="C22" s="2" t="s">
        <v>262</v>
      </c>
      <c r="D22" s="2" t="s">
        <v>261</v>
      </c>
      <c r="E22" s="2" t="s">
        <v>260</v>
      </c>
      <c r="F22" s="2" t="s">
        <v>259</v>
      </c>
      <c r="G22" s="2" t="s">
        <v>8</v>
      </c>
      <c r="H22" s="2"/>
      <c r="I22" s="2"/>
    </row>
    <row r="23" spans="1:9">
      <c r="A23" s="2" t="s">
        <v>264</v>
      </c>
      <c r="B23" s="2" t="s">
        <v>121</v>
      </c>
      <c r="C23" s="2" t="s">
        <v>265</v>
      </c>
      <c r="D23" s="2" t="s">
        <v>264</v>
      </c>
      <c r="E23" s="2" t="s">
        <v>263</v>
      </c>
      <c r="F23" s="2" t="s">
        <v>121</v>
      </c>
      <c r="G23" s="2" t="s">
        <v>196</v>
      </c>
      <c r="H23" s="2"/>
      <c r="I23" s="2"/>
    </row>
    <row r="24" spans="1:9">
      <c r="A24" s="2" t="s">
        <v>267</v>
      </c>
      <c r="B24" s="2"/>
      <c r="C24" s="2" t="s">
        <v>267</v>
      </c>
      <c r="D24" s="2" t="s">
        <v>267</v>
      </c>
      <c r="E24" s="2" t="s">
        <v>267</v>
      </c>
      <c r="F24" s="2" t="s">
        <v>267</v>
      </c>
      <c r="G24" s="2"/>
      <c r="H24" s="2" t="s">
        <v>266</v>
      </c>
      <c r="I24" s="2"/>
    </row>
    <row r="25" spans="1:9">
      <c r="A25" s="2" t="s">
        <v>270</v>
      </c>
      <c r="B25" s="2" t="s">
        <v>270</v>
      </c>
      <c r="C25" s="2" t="s">
        <v>270</v>
      </c>
      <c r="D25" s="2" t="s">
        <v>270</v>
      </c>
      <c r="E25" s="2" t="s">
        <v>270</v>
      </c>
      <c r="F25" s="2" t="s">
        <v>270</v>
      </c>
      <c r="G25" t="s">
        <v>271</v>
      </c>
      <c r="H25" s="2"/>
      <c r="I25" s="2"/>
    </row>
    <row r="26" spans="1:9">
      <c r="A26" s="2"/>
      <c r="B26" s="2"/>
      <c r="C26" s="2"/>
      <c r="D26" s="2"/>
      <c r="E26" s="2"/>
      <c r="F26" s="2"/>
      <c r="G26" s="2"/>
      <c r="H26" s="2"/>
      <c r="I26" s="2"/>
    </row>
    <row r="27" spans="1:9">
      <c r="A27" s="2"/>
      <c r="B27" s="2"/>
      <c r="C27" s="2"/>
      <c r="D27" s="2"/>
      <c r="E27" s="2"/>
      <c r="F27" s="2"/>
      <c r="G27" s="2"/>
      <c r="H27" s="2"/>
      <c r="I27" s="2"/>
    </row>
    <row r="28" spans="1:9">
      <c r="A28" s="2"/>
      <c r="B28" s="2"/>
      <c r="C28" s="2"/>
      <c r="D28" s="2"/>
      <c r="E28" s="2"/>
      <c r="F28" s="2"/>
      <c r="G28" s="2"/>
      <c r="H28" s="2"/>
      <c r="I28" s="2"/>
    </row>
    <row r="29" spans="1:9">
      <c r="A29" s="2"/>
      <c r="B29" s="2"/>
      <c r="C29" s="2"/>
      <c r="D29" s="2"/>
      <c r="E29" s="2"/>
      <c r="F29" s="2"/>
      <c r="G29" s="2"/>
      <c r="H29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41208-6905-41A5-8CDA-45891F714057}">
  <dimension ref="A1:H4"/>
  <sheetViews>
    <sheetView zoomScale="140" zoomScaleNormal="140" workbookViewId="0">
      <selection activeCell="F4" sqref="F4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131</v>
      </c>
      <c r="B2" t="s">
        <v>132</v>
      </c>
      <c r="C2" t="s">
        <v>133</v>
      </c>
      <c r="D2" t="s">
        <v>131</v>
      </c>
      <c r="E2" t="s">
        <v>131</v>
      </c>
      <c r="F2" t="s">
        <v>12</v>
      </c>
      <c r="H2" t="s">
        <v>134</v>
      </c>
    </row>
    <row r="3" spans="1:8">
      <c r="A3" s="2" t="s">
        <v>135</v>
      </c>
      <c r="B3" t="s">
        <v>136</v>
      </c>
      <c r="C3" s="2" t="s">
        <v>137</v>
      </c>
      <c r="D3" s="2" t="s">
        <v>135</v>
      </c>
      <c r="E3" t="s">
        <v>135</v>
      </c>
      <c r="F3" t="s">
        <v>138</v>
      </c>
      <c r="G3" t="s">
        <v>8</v>
      </c>
    </row>
    <row r="4" spans="1:8">
      <c r="A4" t="s">
        <v>139</v>
      </c>
      <c r="B4" t="s">
        <v>76</v>
      </c>
      <c r="C4" t="s">
        <v>140</v>
      </c>
      <c r="D4" t="s">
        <v>139</v>
      </c>
      <c r="E4" t="s">
        <v>141</v>
      </c>
      <c r="F4" t="s">
        <v>76</v>
      </c>
      <c r="G4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17BF-F161-418A-9B8F-87A18459EBCD}">
  <dimension ref="A1:H42"/>
  <sheetViews>
    <sheetView tabSelected="1" topLeftCell="A13" zoomScaleNormal="100" workbookViewId="0">
      <selection activeCell="C51" sqref="C51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36</v>
      </c>
      <c r="B2" t="s">
        <v>37</v>
      </c>
      <c r="C2" t="s">
        <v>38</v>
      </c>
      <c r="D2" t="s">
        <v>36</v>
      </c>
      <c r="E2" t="s">
        <v>39</v>
      </c>
      <c r="F2" t="s">
        <v>37</v>
      </c>
      <c r="G2" t="s">
        <v>8</v>
      </c>
    </row>
    <row r="3" spans="1:8">
      <c r="A3" t="s">
        <v>40</v>
      </c>
      <c r="B3" t="s">
        <v>37</v>
      </c>
      <c r="C3" t="s">
        <v>41</v>
      </c>
      <c r="D3" t="s">
        <v>40</v>
      </c>
      <c r="E3" t="s">
        <v>39</v>
      </c>
      <c r="F3" t="s">
        <v>37</v>
      </c>
      <c r="G3" t="s">
        <v>8</v>
      </c>
    </row>
    <row r="4" spans="1:8">
      <c r="A4" t="s">
        <v>42</v>
      </c>
      <c r="B4" t="s">
        <v>37</v>
      </c>
      <c r="C4" t="s">
        <v>43</v>
      </c>
      <c r="D4" t="s">
        <v>42</v>
      </c>
      <c r="E4" t="s">
        <v>39</v>
      </c>
      <c r="F4" t="s">
        <v>37</v>
      </c>
      <c r="G4" t="s">
        <v>8</v>
      </c>
    </row>
    <row r="5" spans="1:8">
      <c r="A5" t="s">
        <v>44</v>
      </c>
      <c r="B5" t="s">
        <v>37</v>
      </c>
      <c r="C5" t="s">
        <v>45</v>
      </c>
      <c r="D5" t="s">
        <v>44</v>
      </c>
      <c r="E5" t="s">
        <v>39</v>
      </c>
      <c r="F5" t="s">
        <v>37</v>
      </c>
      <c r="G5" t="s">
        <v>8</v>
      </c>
    </row>
    <row r="6" spans="1:8">
      <c r="A6" t="s">
        <v>46</v>
      </c>
      <c r="B6" t="s">
        <v>37</v>
      </c>
      <c r="C6" t="s">
        <v>47</v>
      </c>
      <c r="D6" t="s">
        <v>46</v>
      </c>
      <c r="E6" t="s">
        <v>39</v>
      </c>
      <c r="F6" t="s">
        <v>37</v>
      </c>
      <c r="G6" t="s">
        <v>8</v>
      </c>
    </row>
    <row r="7" spans="1:8">
      <c r="A7" t="s">
        <v>48</v>
      </c>
      <c r="B7" t="s">
        <v>37</v>
      </c>
      <c r="C7" t="s">
        <v>49</v>
      </c>
      <c r="D7" t="s">
        <v>48</v>
      </c>
      <c r="E7" t="s">
        <v>39</v>
      </c>
      <c r="F7" t="s">
        <v>37</v>
      </c>
      <c r="G7" t="s">
        <v>8</v>
      </c>
    </row>
    <row r="8" spans="1:8">
      <c r="A8" t="s">
        <v>50</v>
      </c>
      <c r="B8" t="s">
        <v>37</v>
      </c>
      <c r="C8" t="s">
        <v>51</v>
      </c>
      <c r="D8" t="s">
        <v>50</v>
      </c>
      <c r="E8" t="s">
        <v>39</v>
      </c>
      <c r="F8" t="s">
        <v>37</v>
      </c>
      <c r="G8" t="s">
        <v>8</v>
      </c>
    </row>
    <row r="9" spans="1:8">
      <c r="A9" t="s">
        <v>52</v>
      </c>
      <c r="B9" t="s">
        <v>37</v>
      </c>
      <c r="C9" t="s">
        <v>53</v>
      </c>
      <c r="D9" t="s">
        <v>52</v>
      </c>
      <c r="E9" t="s">
        <v>39</v>
      </c>
      <c r="F9" t="s">
        <v>37</v>
      </c>
      <c r="G9" t="s">
        <v>8</v>
      </c>
    </row>
    <row r="10" spans="1:8">
      <c r="A10" t="s">
        <v>54</v>
      </c>
      <c r="B10" t="s">
        <v>37</v>
      </c>
      <c r="C10" t="s">
        <v>55</v>
      </c>
      <c r="D10" t="s">
        <v>54</v>
      </c>
      <c r="E10" t="s">
        <v>39</v>
      </c>
      <c r="F10" t="s">
        <v>37</v>
      </c>
      <c r="G10" t="s">
        <v>8</v>
      </c>
    </row>
    <row r="11" spans="1:8">
      <c r="A11" t="s">
        <v>56</v>
      </c>
      <c r="B11" t="s">
        <v>37</v>
      </c>
      <c r="C11" t="s">
        <v>57</v>
      </c>
      <c r="D11" t="s">
        <v>56</v>
      </c>
      <c r="E11" t="s">
        <v>39</v>
      </c>
      <c r="F11" t="s">
        <v>37</v>
      </c>
      <c r="G11" t="s">
        <v>8</v>
      </c>
    </row>
    <row r="12" spans="1:8">
      <c r="A12" t="s">
        <v>58</v>
      </c>
      <c r="B12" t="s">
        <v>37</v>
      </c>
      <c r="C12" t="s">
        <v>59</v>
      </c>
      <c r="D12" t="s">
        <v>58</v>
      </c>
      <c r="E12" t="s">
        <v>60</v>
      </c>
      <c r="F12" t="s">
        <v>37</v>
      </c>
      <c r="G12" t="s">
        <v>8</v>
      </c>
    </row>
    <row r="13" spans="1:8">
      <c r="A13" t="s">
        <v>61</v>
      </c>
      <c r="B13" t="s">
        <v>37</v>
      </c>
      <c r="C13" t="s">
        <v>62</v>
      </c>
      <c r="D13" t="s">
        <v>61</v>
      </c>
      <c r="E13" t="s">
        <v>39</v>
      </c>
      <c r="F13" t="s">
        <v>37</v>
      </c>
      <c r="G13" t="s">
        <v>8</v>
      </c>
    </row>
    <row r="14" spans="1:8">
      <c r="A14" t="s">
        <v>63</v>
      </c>
      <c r="B14" t="s">
        <v>37</v>
      </c>
      <c r="C14" t="s">
        <v>64</v>
      </c>
      <c r="D14" t="s">
        <v>63</v>
      </c>
      <c r="E14" t="s">
        <v>39</v>
      </c>
      <c r="F14" t="s">
        <v>37</v>
      </c>
      <c r="G14" t="s">
        <v>8</v>
      </c>
    </row>
    <row r="15" spans="1:8">
      <c r="A15" t="s">
        <v>65</v>
      </c>
      <c r="B15" t="s">
        <v>37</v>
      </c>
      <c r="C15" t="s">
        <v>66</v>
      </c>
      <c r="D15" t="s">
        <v>65</v>
      </c>
      <c r="E15" t="s">
        <v>39</v>
      </c>
      <c r="F15" t="s">
        <v>37</v>
      </c>
      <c r="G15" t="s">
        <v>8</v>
      </c>
    </row>
    <row r="16" spans="1:8">
      <c r="A16" t="s">
        <v>67</v>
      </c>
      <c r="B16" t="s">
        <v>37</v>
      </c>
      <c r="C16" t="s">
        <v>68</v>
      </c>
      <c r="D16" t="s">
        <v>67</v>
      </c>
      <c r="E16" t="s">
        <v>39</v>
      </c>
      <c r="F16" t="s">
        <v>37</v>
      </c>
      <c r="G16" t="s">
        <v>8</v>
      </c>
    </row>
    <row r="17" spans="1:7">
      <c r="A17" t="s">
        <v>69</v>
      </c>
      <c r="B17" t="s">
        <v>37</v>
      </c>
      <c r="C17" t="s">
        <v>70</v>
      </c>
      <c r="D17" t="s">
        <v>69</v>
      </c>
      <c r="E17" t="s">
        <v>39</v>
      </c>
      <c r="F17" t="s">
        <v>37</v>
      </c>
      <c r="G17" t="s">
        <v>8</v>
      </c>
    </row>
    <row r="18" spans="1:7">
      <c r="A18" t="s">
        <v>71</v>
      </c>
      <c r="B18" t="s">
        <v>37</v>
      </c>
      <c r="C18" t="s">
        <v>72</v>
      </c>
      <c r="D18" t="s">
        <v>71</v>
      </c>
      <c r="E18" t="s">
        <v>39</v>
      </c>
      <c r="F18" t="s">
        <v>37</v>
      </c>
      <c r="G18" t="s">
        <v>8</v>
      </c>
    </row>
    <row r="19" spans="1:7">
      <c r="A19" t="s">
        <v>73</v>
      </c>
      <c r="B19" t="s">
        <v>37</v>
      </c>
      <c r="C19" t="s">
        <v>74</v>
      </c>
      <c r="D19" t="s">
        <v>73</v>
      </c>
      <c r="E19" t="s">
        <v>39</v>
      </c>
      <c r="F19" t="s">
        <v>37</v>
      </c>
      <c r="G19" t="s">
        <v>8</v>
      </c>
    </row>
    <row r="20" spans="1:7">
      <c r="A20" t="s">
        <v>75</v>
      </c>
      <c r="B20" t="s">
        <v>76</v>
      </c>
      <c r="C20" t="s">
        <v>77</v>
      </c>
      <c r="D20" t="s">
        <v>75</v>
      </c>
      <c r="E20" t="s">
        <v>78</v>
      </c>
      <c r="F20" t="s">
        <v>76</v>
      </c>
      <c r="G20" t="s">
        <v>8</v>
      </c>
    </row>
    <row r="21" spans="1:7">
      <c r="A21" t="s">
        <v>79</v>
      </c>
      <c r="B21" t="s">
        <v>76</v>
      </c>
      <c r="C21" t="s">
        <v>80</v>
      </c>
      <c r="D21" t="s">
        <v>79</v>
      </c>
      <c r="E21" t="s">
        <v>78</v>
      </c>
      <c r="F21" t="s">
        <v>76</v>
      </c>
      <c r="G21" t="s">
        <v>8</v>
      </c>
    </row>
    <row r="22" spans="1:7">
      <c r="A22" t="s">
        <v>81</v>
      </c>
      <c r="B22" t="s">
        <v>76</v>
      </c>
      <c r="C22" t="s">
        <v>82</v>
      </c>
      <c r="D22" t="s">
        <v>81</v>
      </c>
      <c r="E22" t="s">
        <v>78</v>
      </c>
      <c r="F22" t="s">
        <v>76</v>
      </c>
      <c r="G22" t="s">
        <v>8</v>
      </c>
    </row>
    <row r="23" spans="1:7">
      <c r="A23" t="s">
        <v>83</v>
      </c>
      <c r="B23" t="s">
        <v>76</v>
      </c>
      <c r="C23" t="s">
        <v>84</v>
      </c>
      <c r="D23" t="s">
        <v>83</v>
      </c>
      <c r="E23" t="s">
        <v>78</v>
      </c>
      <c r="F23" t="s">
        <v>76</v>
      </c>
      <c r="G23" t="s">
        <v>8</v>
      </c>
    </row>
    <row r="24" spans="1:7">
      <c r="A24" t="s">
        <v>85</v>
      </c>
      <c r="B24" t="s">
        <v>76</v>
      </c>
      <c r="C24" t="s">
        <v>86</v>
      </c>
      <c r="D24" t="s">
        <v>85</v>
      </c>
      <c r="E24" t="s">
        <v>78</v>
      </c>
      <c r="F24" t="s">
        <v>76</v>
      </c>
      <c r="G24" t="s">
        <v>8</v>
      </c>
    </row>
    <row r="25" spans="1:7">
      <c r="A25" t="s">
        <v>87</v>
      </c>
      <c r="B25" t="s">
        <v>76</v>
      </c>
      <c r="C25" t="s">
        <v>88</v>
      </c>
      <c r="D25" t="s">
        <v>87</v>
      </c>
      <c r="E25" t="s">
        <v>89</v>
      </c>
      <c r="F25" t="s">
        <v>76</v>
      </c>
      <c r="G25" t="s">
        <v>90</v>
      </c>
    </row>
    <row r="26" spans="1:7">
      <c r="A26" t="s">
        <v>91</v>
      </c>
      <c r="B26" t="s">
        <v>76</v>
      </c>
      <c r="C26" t="s">
        <v>92</v>
      </c>
      <c r="D26" t="s">
        <v>91</v>
      </c>
      <c r="E26" t="s">
        <v>89</v>
      </c>
      <c r="F26" t="s">
        <v>76</v>
      </c>
      <c r="G26" t="s">
        <v>90</v>
      </c>
    </row>
    <row r="27" spans="1:7">
      <c r="A27" t="s">
        <v>93</v>
      </c>
      <c r="B27" t="s">
        <v>76</v>
      </c>
      <c r="C27" t="s">
        <v>94</v>
      </c>
      <c r="D27" t="s">
        <v>93</v>
      </c>
      <c r="E27" t="s">
        <v>89</v>
      </c>
      <c r="F27" t="s">
        <v>76</v>
      </c>
      <c r="G27" t="s">
        <v>90</v>
      </c>
    </row>
    <row r="28" spans="1:7">
      <c r="A28" t="s">
        <v>95</v>
      </c>
      <c r="B28" t="s">
        <v>76</v>
      </c>
      <c r="C28" t="s">
        <v>96</v>
      </c>
      <c r="D28" t="s">
        <v>95</v>
      </c>
      <c r="E28" t="s">
        <v>89</v>
      </c>
      <c r="F28" t="s">
        <v>76</v>
      </c>
      <c r="G28" t="s">
        <v>90</v>
      </c>
    </row>
    <row r="29" spans="1:7">
      <c r="A29" t="s">
        <v>97</v>
      </c>
      <c r="B29" t="s">
        <v>76</v>
      </c>
      <c r="C29" t="s">
        <v>98</v>
      </c>
      <c r="D29" t="s">
        <v>97</v>
      </c>
      <c r="E29" t="s">
        <v>89</v>
      </c>
      <c r="F29" t="s">
        <v>76</v>
      </c>
      <c r="G29" t="s">
        <v>90</v>
      </c>
    </row>
    <row r="30" spans="1:7">
      <c r="A30" t="s">
        <v>99</v>
      </c>
      <c r="B30" t="s">
        <v>76</v>
      </c>
      <c r="C30" t="s">
        <v>174</v>
      </c>
      <c r="D30" t="s">
        <v>99</v>
      </c>
      <c r="E30" t="s">
        <v>99</v>
      </c>
      <c r="F30" t="s">
        <v>76</v>
      </c>
      <c r="G30" t="s">
        <v>11</v>
      </c>
    </row>
    <row r="31" spans="1:7">
      <c r="A31" t="s">
        <v>172</v>
      </c>
      <c r="B31" t="s">
        <v>231</v>
      </c>
      <c r="C31" t="s">
        <v>237</v>
      </c>
      <c r="D31" t="s">
        <v>172</v>
      </c>
      <c r="E31" t="s">
        <v>173</v>
      </c>
      <c r="F31" t="s">
        <v>9</v>
      </c>
      <c r="G31" t="s">
        <v>171</v>
      </c>
    </row>
    <row r="32" spans="1:7">
      <c r="A32" t="s">
        <v>182</v>
      </c>
      <c r="B32" t="s">
        <v>181</v>
      </c>
      <c r="C32" t="s">
        <v>183</v>
      </c>
      <c r="D32" t="s">
        <v>182</v>
      </c>
      <c r="E32" t="s">
        <v>185</v>
      </c>
      <c r="F32" t="s">
        <v>181</v>
      </c>
      <c r="G32" t="s">
        <v>184</v>
      </c>
    </row>
    <row r="33" spans="1:8">
      <c r="A33" t="s">
        <v>193</v>
      </c>
      <c r="B33" t="s">
        <v>194</v>
      </c>
      <c r="C33" t="s">
        <v>195</v>
      </c>
      <c r="D33" t="s">
        <v>193</v>
      </c>
      <c r="E33" t="s">
        <v>192</v>
      </c>
      <c r="F33" t="s">
        <v>194</v>
      </c>
      <c r="G33" t="s">
        <v>196</v>
      </c>
    </row>
    <row r="34" spans="1:8">
      <c r="A34" t="s">
        <v>202</v>
      </c>
      <c r="B34" t="s">
        <v>199</v>
      </c>
      <c r="C34" t="s">
        <v>238</v>
      </c>
      <c r="D34" t="s">
        <v>198</v>
      </c>
      <c r="E34" t="s">
        <v>198</v>
      </c>
      <c r="F34" t="s">
        <v>199</v>
      </c>
      <c r="G34" t="s">
        <v>200</v>
      </c>
    </row>
    <row r="35" spans="1:8">
      <c r="A35" t="s">
        <v>206</v>
      </c>
      <c r="C35" t="s">
        <v>206</v>
      </c>
      <c r="D35" t="s">
        <v>206</v>
      </c>
      <c r="E35" t="s">
        <v>206</v>
      </c>
      <c r="F35" t="s">
        <v>206</v>
      </c>
      <c r="H35" t="s">
        <v>207</v>
      </c>
    </row>
    <row r="36" spans="1:8">
      <c r="A36" t="s">
        <v>209</v>
      </c>
      <c r="B36" t="s">
        <v>208</v>
      </c>
      <c r="C36" t="s">
        <v>210</v>
      </c>
      <c r="D36" t="s">
        <v>209</v>
      </c>
      <c r="E36" t="s">
        <v>39</v>
      </c>
      <c r="F36" t="s">
        <v>208</v>
      </c>
      <c r="G36" t="s">
        <v>8</v>
      </c>
    </row>
    <row r="37" spans="1:8">
      <c r="A37" t="s">
        <v>212</v>
      </c>
      <c r="B37" t="s">
        <v>211</v>
      </c>
      <c r="C37" t="s">
        <v>213</v>
      </c>
      <c r="D37" t="s">
        <v>212</v>
      </c>
      <c r="E37" t="s">
        <v>212</v>
      </c>
      <c r="F37" t="s">
        <v>211</v>
      </c>
      <c r="G37" t="s">
        <v>214</v>
      </c>
    </row>
    <row r="38" spans="1:8">
      <c r="A38" t="s">
        <v>215</v>
      </c>
      <c r="B38" t="s">
        <v>239</v>
      </c>
      <c r="C38" t="s">
        <v>240</v>
      </c>
      <c r="D38" t="s">
        <v>215</v>
      </c>
      <c r="E38" t="s">
        <v>216</v>
      </c>
      <c r="F38" t="s">
        <v>248</v>
      </c>
      <c r="G38" t="s">
        <v>151</v>
      </c>
    </row>
    <row r="39" spans="1:8">
      <c r="A39" t="s">
        <v>247</v>
      </c>
      <c r="B39" t="s">
        <v>268</v>
      </c>
      <c r="C39" t="s">
        <v>269</v>
      </c>
      <c r="D39" t="s">
        <v>247</v>
      </c>
      <c r="E39" t="s">
        <v>277</v>
      </c>
      <c r="F39" t="s">
        <v>268</v>
      </c>
      <c r="G39" t="s">
        <v>196</v>
      </c>
    </row>
    <row r="40" spans="1:8">
      <c r="A40" t="s">
        <v>249</v>
      </c>
      <c r="B40" t="s">
        <v>250</v>
      </c>
      <c r="C40" t="s">
        <v>251</v>
      </c>
      <c r="D40" t="s">
        <v>249</v>
      </c>
      <c r="E40" t="s">
        <v>277</v>
      </c>
      <c r="F40" t="s">
        <v>250</v>
      </c>
      <c r="G40" t="s">
        <v>196</v>
      </c>
    </row>
    <row r="41" spans="1:8">
      <c r="A41" t="s">
        <v>276</v>
      </c>
      <c r="B41" t="s">
        <v>250</v>
      </c>
      <c r="C41" t="s">
        <v>278</v>
      </c>
      <c r="D41" t="s">
        <v>276</v>
      </c>
      <c r="E41" t="s">
        <v>277</v>
      </c>
      <c r="F41" t="s">
        <v>250</v>
      </c>
      <c r="G41" t="s">
        <v>8</v>
      </c>
    </row>
    <row r="42" spans="1:8">
      <c r="A42" t="s">
        <v>281</v>
      </c>
      <c r="B42" t="s">
        <v>279</v>
      </c>
      <c r="C42" t="str">
        <f>_xlfn.CONCAT(D42, " ", B42)</f>
        <v>TL431AQDBZR SOT-23</v>
      </c>
      <c r="D42" t="s">
        <v>281</v>
      </c>
      <c r="E42" t="s">
        <v>280</v>
      </c>
      <c r="F42" t="s">
        <v>279</v>
      </c>
      <c r="G42" t="s">
        <v>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623C-E451-4C0A-BB30-6BFAFBFB995B}">
  <dimension ref="A1:H3"/>
  <sheetViews>
    <sheetView zoomScale="140" zoomScaleNormal="14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100</v>
      </c>
      <c r="C2" t="s">
        <v>100</v>
      </c>
      <c r="D2" t="s">
        <v>100</v>
      </c>
      <c r="E2" t="s">
        <v>100</v>
      </c>
      <c r="F2" t="s">
        <v>100</v>
      </c>
      <c r="G2" t="s">
        <v>101</v>
      </c>
    </row>
    <row r="3" spans="1:8">
      <c r="A3" s="2" t="s">
        <v>102</v>
      </c>
      <c r="B3" t="s">
        <v>241</v>
      </c>
      <c r="C3" t="s">
        <v>242</v>
      </c>
      <c r="D3" t="s">
        <v>102</v>
      </c>
      <c r="E3" t="s">
        <v>103</v>
      </c>
      <c r="F3" t="s">
        <v>104</v>
      </c>
      <c r="G3" t="s">
        <v>105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B3B07-F695-4F0E-B776-807579F5C093}">
  <dimension ref="A1:H5"/>
  <sheetViews>
    <sheetView zoomScale="140" zoomScaleNormal="14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106</v>
      </c>
      <c r="B2" t="s">
        <v>107</v>
      </c>
      <c r="C2" t="s">
        <v>108</v>
      </c>
      <c r="D2" t="s">
        <v>108</v>
      </c>
      <c r="E2" t="s">
        <v>106</v>
      </c>
      <c r="F2" t="s">
        <v>107</v>
      </c>
      <c r="H2" t="s">
        <v>109</v>
      </c>
    </row>
    <row r="3" spans="1:8">
      <c r="A3" s="2" t="s">
        <v>110</v>
      </c>
      <c r="B3" t="s">
        <v>111</v>
      </c>
      <c r="C3" t="s">
        <v>112</v>
      </c>
      <c r="D3" t="s">
        <v>110</v>
      </c>
      <c r="E3" t="s">
        <v>113</v>
      </c>
      <c r="F3" t="s">
        <v>114</v>
      </c>
      <c r="G3" t="s">
        <v>8</v>
      </c>
    </row>
    <row r="4" spans="1:8">
      <c r="A4" t="s">
        <v>115</v>
      </c>
      <c r="B4" t="s">
        <v>111</v>
      </c>
      <c r="C4" t="s">
        <v>116</v>
      </c>
      <c r="D4" t="s">
        <v>115</v>
      </c>
      <c r="E4" t="s">
        <v>113</v>
      </c>
      <c r="F4" t="s">
        <v>114</v>
      </c>
      <c r="G4" t="s">
        <v>8</v>
      </c>
    </row>
    <row r="5" spans="1:8">
      <c r="A5" t="s">
        <v>117</v>
      </c>
      <c r="B5" t="s">
        <v>118</v>
      </c>
      <c r="C5" t="s">
        <v>119</v>
      </c>
      <c r="D5" t="s">
        <v>117</v>
      </c>
      <c r="E5" t="s">
        <v>120</v>
      </c>
      <c r="F5" t="s">
        <v>121</v>
      </c>
      <c r="G5" t="s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0AA7D-5B01-4429-B668-37BD5F31C3F5}">
  <dimension ref="A1:H4"/>
  <sheetViews>
    <sheetView zoomScale="140" zoomScaleNormal="14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122</v>
      </c>
      <c r="B2" t="s">
        <v>35</v>
      </c>
      <c r="C2" s="2" t="s">
        <v>123</v>
      </c>
      <c r="D2" s="2" t="s">
        <v>122</v>
      </c>
      <c r="E2" t="s">
        <v>122</v>
      </c>
      <c r="F2" t="s">
        <v>35</v>
      </c>
      <c r="G2" t="s">
        <v>124</v>
      </c>
      <c r="H2" s="2"/>
    </row>
    <row r="3" spans="1:8">
      <c r="A3" s="2" t="s">
        <v>125</v>
      </c>
      <c r="B3" t="s">
        <v>35</v>
      </c>
      <c r="C3" s="2" t="s">
        <v>126</v>
      </c>
      <c r="D3" s="2" t="s">
        <v>125</v>
      </c>
      <c r="E3" t="s">
        <v>125</v>
      </c>
      <c r="F3" t="s">
        <v>35</v>
      </c>
      <c r="G3" t="s">
        <v>127</v>
      </c>
      <c r="H3" s="2"/>
    </row>
    <row r="4" spans="1:8">
      <c r="A4" s="2" t="s">
        <v>128</v>
      </c>
      <c r="B4" t="s">
        <v>35</v>
      </c>
      <c r="C4" s="2" t="s">
        <v>129</v>
      </c>
      <c r="D4" s="2" t="s">
        <v>128</v>
      </c>
      <c r="E4" t="s">
        <v>130</v>
      </c>
      <c r="F4" t="s">
        <v>35</v>
      </c>
      <c r="G4" t="s">
        <v>8</v>
      </c>
      <c r="H4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03D42-6E7A-4C3C-A172-8A9EBFFB14A6}">
  <dimension ref="A1:H2"/>
  <sheetViews>
    <sheetView zoomScaleNormal="10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189</v>
      </c>
      <c r="B2" t="s">
        <v>181</v>
      </c>
      <c r="C2" t="s">
        <v>190</v>
      </c>
      <c r="D2" t="s">
        <v>189</v>
      </c>
      <c r="E2" t="s">
        <v>191</v>
      </c>
      <c r="F2" t="s">
        <v>181</v>
      </c>
      <c r="G2" s="2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ac-dc</vt:lpstr>
      <vt:lpstr>bms</vt:lpstr>
      <vt:lpstr>dc-dc</vt:lpstr>
      <vt:lpstr>driver</vt:lpstr>
      <vt:lpstr>ldo</vt:lpstr>
      <vt:lpstr>misc</vt:lpstr>
      <vt:lpstr>power_mux</vt:lpstr>
      <vt:lpstr>power_switch</vt:lpstr>
      <vt:lpstr>Vref_source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2026-08-17T09:05:15Z</dcterms:modified>
</cp:coreProperties>
</file>