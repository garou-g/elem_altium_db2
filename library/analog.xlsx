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Projects\elem_altium_db2\library\"/>
    </mc:Choice>
  </mc:AlternateContent>
  <xr:revisionPtr revIDLastSave="0" documentId="13_ncr:1_{408E9B10-DDA3-40C1-924D-1FC6BEDAA08F}" xr6:coauthVersionLast="47" xr6:coauthVersionMax="47" xr10:uidLastSave="{00000000-0000-0000-0000-000000000000}"/>
  <bookViews>
    <workbookView xWindow="-120" yWindow="-120" windowWidth="29040" windowHeight="15840" activeTab="8" xr2:uid="{EE2E7F00-6B54-4C0B-98D7-835E87062BAF}"/>
  </bookViews>
  <sheets>
    <sheet name="ADC" sheetId="1" r:id="rId1"/>
    <sheet name="Buffer" sheetId="2" r:id="rId2"/>
    <sheet name="Comparator" sheetId="3" r:id="rId3"/>
    <sheet name="DAC" sheetId="4" r:id="rId4"/>
    <sheet name="GPS" sheetId="5" r:id="rId5"/>
    <sheet name="GSM" sheetId="9" r:id="rId6"/>
    <sheet name="OPAMP" sheetId="6" r:id="rId7"/>
    <sheet name="MUX" sheetId="10" r:id="rId8"/>
    <sheet name="Sensor" sheetId="8" r:id="rId9"/>
    <sheet name="Other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0" l="1"/>
  <c r="C10" i="3"/>
  <c r="C20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8" i="2"/>
  <c r="C2" i="1"/>
  <c r="C3" i="1"/>
  <c r="C4" i="1"/>
  <c r="C5" i="1"/>
  <c r="C6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<sst xmlns="http://schemas.openxmlformats.org/spreadsheetml/2006/main" count="659" uniqueCount="273">
  <si>
    <t>Part Number</t>
  </si>
  <si>
    <t>Size</t>
  </si>
  <si>
    <t>Part Number Ru</t>
  </si>
  <si>
    <t>Part Number En</t>
  </si>
  <si>
    <t>Library Ref</t>
  </si>
  <si>
    <t>Footprint Ref</t>
  </si>
  <si>
    <t>Manufacturer</t>
  </si>
  <si>
    <t>TU</t>
  </si>
  <si>
    <t>SIM5320E</t>
  </si>
  <si>
    <t>SIM53xx</t>
  </si>
  <si>
    <t>Simcom</t>
  </si>
  <si>
    <t>A7672X</t>
  </si>
  <si>
    <t>SAM-M8Q-0-10</t>
  </si>
  <si>
    <t>SAM-M8Q</t>
  </si>
  <si>
    <t>U-Blox America Inc</t>
  </si>
  <si>
    <t>NEO-M8M-0</t>
  </si>
  <si>
    <t>NEO-M8</t>
  </si>
  <si>
    <t>NEO-M8N-0</t>
  </si>
  <si>
    <t>NEO-M8Q-0</t>
  </si>
  <si>
    <t>SIM68M</t>
  </si>
  <si>
    <t>AD7655ASTZ</t>
  </si>
  <si>
    <t>AD7655</t>
  </si>
  <si>
    <t>48-LQFP</t>
  </si>
  <si>
    <t>Analog Devices</t>
  </si>
  <si>
    <t>ADC088S022CIMT</t>
  </si>
  <si>
    <t>TSSOP-16</t>
  </si>
  <si>
    <t>ADC088</t>
  </si>
  <si>
    <t>16-TSSOP</t>
  </si>
  <si>
    <t>Texas Instruments</t>
  </si>
  <si>
    <t>ADS1120IPWR</t>
  </si>
  <si>
    <t>ADS1120</t>
  </si>
  <si>
    <t>ADS1286U</t>
  </si>
  <si>
    <t>SOIC-8</t>
  </si>
  <si>
    <t>ADS1286</t>
  </si>
  <si>
    <t>8-SOIC</t>
  </si>
  <si>
    <t>ADS1602IPFBT</t>
  </si>
  <si>
    <t>ADS1602</t>
  </si>
  <si>
    <t>ADS1605IPAPT</t>
  </si>
  <si>
    <t>HTQFP-64</t>
  </si>
  <si>
    <t>ADS1605</t>
  </si>
  <si>
    <t>64-LQFP-EP</t>
  </si>
  <si>
    <t>ADS1675IPAG</t>
  </si>
  <si>
    <t>64-LQFP</t>
  </si>
  <si>
    <t>SN74AVC1T45DBVR</t>
  </si>
  <si>
    <t>SOT23-6</t>
  </si>
  <si>
    <t>SN74AVC1T45DBVR SOT23-6</t>
  </si>
  <si>
    <t>SN74LVC2T45DCUR</t>
  </si>
  <si>
    <t>VSSOP-8</t>
  </si>
  <si>
    <t>SN74LVC2T45DCUR VSSOP-8</t>
  </si>
  <si>
    <t>8-VSSOP</t>
  </si>
  <si>
    <t>74LVC4245APW</t>
  </si>
  <si>
    <t>TSSOP-24</t>
  </si>
  <si>
    <t>74LVC4245APW TSSOP24</t>
  </si>
  <si>
    <t>74LVC4245A</t>
  </si>
  <si>
    <t>24-TSSOP</t>
  </si>
  <si>
    <t>NXP</t>
  </si>
  <si>
    <t>5572ИН1АУ</t>
  </si>
  <si>
    <t>Н16.48-1В</t>
  </si>
  <si>
    <t>5572ИН1АУ Н16.48-1В</t>
  </si>
  <si>
    <t>5572ИН1У</t>
  </si>
  <si>
    <t>АЕЯР.431230.913ТУ</t>
  </si>
  <si>
    <t>5572ИН2АУ</t>
  </si>
  <si>
    <t>Н06.24-1B</t>
  </si>
  <si>
    <t>5572ИН2АУ Н06.24-1B</t>
  </si>
  <si>
    <t>5572ИН2У</t>
  </si>
  <si>
    <t>RS0102YVS8</t>
  </si>
  <si>
    <t>RS0102YVS8 VSSOP-8</t>
  </si>
  <si>
    <t>Runic</t>
  </si>
  <si>
    <t>ADCMP601BKSZ-REEL7</t>
  </si>
  <si>
    <t>SC-70-6</t>
  </si>
  <si>
    <t>ADCMP601BKSZ-REEL7 SC-70-6</t>
  </si>
  <si>
    <t>ADCMP601</t>
  </si>
  <si>
    <t>SOT363</t>
  </si>
  <si>
    <t>LM211DG4</t>
  </si>
  <si>
    <t>LM211DG4 SOIC-8</t>
  </si>
  <si>
    <t>LMx11</t>
  </si>
  <si>
    <t>LM2903M</t>
  </si>
  <si>
    <t>LM2903M SOIC-8</t>
  </si>
  <si>
    <t>LM2903</t>
  </si>
  <si>
    <t>RS8901XC5</t>
  </si>
  <si>
    <t>SC-70-5</t>
  </si>
  <si>
    <t>RS8901XC5 SC-70-5</t>
  </si>
  <si>
    <t>RS8901</t>
  </si>
  <si>
    <t>SOT353</t>
  </si>
  <si>
    <t>427ПА4</t>
  </si>
  <si>
    <t>4134.40-1</t>
  </si>
  <si>
    <t>427ПА4 4134.40-1</t>
  </si>
  <si>
    <t>АЕЯР.431200.026ТУ</t>
  </si>
  <si>
    <t>AD5443YRM</t>
  </si>
  <si>
    <t>MSOP-10</t>
  </si>
  <si>
    <t>AD5443YRM MSOP-10</t>
  </si>
  <si>
    <t>AD5443</t>
  </si>
  <si>
    <t>10-MSOP</t>
  </si>
  <si>
    <t>AD9744ARZ</t>
  </si>
  <si>
    <t>SOIC-28W</t>
  </si>
  <si>
    <t>AD9744ARZ SOIC-28W</t>
  </si>
  <si>
    <t>AD9744</t>
  </si>
  <si>
    <t>28-SOIC</t>
  </si>
  <si>
    <t>DAC081S101CIMK/NOPB</t>
  </si>
  <si>
    <t>DAC081S101CIMK/NOPB SOT23-6</t>
  </si>
  <si>
    <t>DAC081S101CIMK</t>
  </si>
  <si>
    <t>DAC5311IDCKT</t>
  </si>
  <si>
    <t>DAC5311IDCKT SC-70-6</t>
  </si>
  <si>
    <t>DACx311</t>
  </si>
  <si>
    <t>DAC6311IDCKT</t>
  </si>
  <si>
    <t>DAC6311IDCKT SC-70-6</t>
  </si>
  <si>
    <t>DAC7311IDCKT</t>
  </si>
  <si>
    <t>DAC7311IDCKT SC-70-6</t>
  </si>
  <si>
    <t>TPC116S1</t>
  </si>
  <si>
    <t>8-MSOP</t>
  </si>
  <si>
    <t>3PEAK</t>
  </si>
  <si>
    <t>Н572ПА1А</t>
  </si>
  <si>
    <t>Н04.16-1В</t>
  </si>
  <si>
    <t>Н572ПА1А Н04.16-1В</t>
  </si>
  <si>
    <t>Н572ПА1</t>
  </si>
  <si>
    <t>бК0.347.182ТУ1</t>
  </si>
  <si>
    <t>STMicroelectronics</t>
  </si>
  <si>
    <t>16-LGA</t>
  </si>
  <si>
    <t>LIS3DH</t>
  </si>
  <si>
    <t>LIS3DHTR</t>
  </si>
  <si>
    <t>LIS3DHTR LGA-16</t>
  </si>
  <si>
    <t>LGA-16</t>
  </si>
  <si>
    <t>Renesas Electronics</t>
  </si>
  <si>
    <t>6-ODFN</t>
  </si>
  <si>
    <t>ISL29003</t>
  </si>
  <si>
    <t>ISL29033IROZ-T7</t>
  </si>
  <si>
    <t>ISL29003IROZ-T7</t>
  </si>
  <si>
    <t>ISL29003IROZ-T7 (Obsolete)</t>
  </si>
  <si>
    <t>IRS-B210ST01-R1</t>
  </si>
  <si>
    <t>5-SMD</t>
  </si>
  <si>
    <t>IRS-B210ST01</t>
  </si>
  <si>
    <t>Murata</t>
  </si>
  <si>
    <t>Asair</t>
  </si>
  <si>
    <t>Asair_DFN-6_3x3mm_P1mm</t>
  </si>
  <si>
    <t>AHT20</t>
  </si>
  <si>
    <t>AHT20 DFN-6</t>
  </si>
  <si>
    <t>DFN-6</t>
  </si>
  <si>
    <t>Sensirion</t>
  </si>
  <si>
    <t>6-DFN</t>
  </si>
  <si>
    <t>SHT21</t>
  </si>
  <si>
    <t>SHT21 DFN-6</t>
  </si>
  <si>
    <t>TLV2402ID</t>
  </si>
  <si>
    <t>OPAMP_x2</t>
  </si>
  <si>
    <t>ADA4851-4YRUZ</t>
  </si>
  <si>
    <t>TSSOP-14</t>
  </si>
  <si>
    <t>OPAMP_x4</t>
  </si>
  <si>
    <t>14-TSOP</t>
  </si>
  <si>
    <t>RS624PXP</t>
  </si>
  <si>
    <t>SOIC-14</t>
  </si>
  <si>
    <t>14-SOIC</t>
  </si>
  <si>
    <t>RS622PXK</t>
  </si>
  <si>
    <t>RS621PXF</t>
  </si>
  <si>
    <t>SOT23-5</t>
  </si>
  <si>
    <t>RS621P</t>
  </si>
  <si>
    <t>TLV271CD</t>
  </si>
  <si>
    <t>OPAMP_5pin</t>
  </si>
  <si>
    <t>ACS712ELCTR-05B-T (Obsolete)</t>
  </si>
  <si>
    <t>ACS712ELCTR-05B-T</t>
  </si>
  <si>
    <t>ACS712</t>
  </si>
  <si>
    <t>Allegro</t>
  </si>
  <si>
    <t>AD5231BRU10</t>
  </si>
  <si>
    <t>AD5231</t>
  </si>
  <si>
    <t>AD8400AR1</t>
  </si>
  <si>
    <t>AD8400</t>
  </si>
  <si>
    <t>ADuM1400ARW</t>
  </si>
  <si>
    <t>SOIC-16W</t>
  </si>
  <si>
    <t>ADUM1400</t>
  </si>
  <si>
    <t>16-SOIC (W)</t>
  </si>
  <si>
    <t>ADuM1401ARW</t>
  </si>
  <si>
    <t>ADUM1401</t>
  </si>
  <si>
    <t>AT42QT1010-TSHR</t>
  </si>
  <si>
    <t>AT42QT1010</t>
  </si>
  <si>
    <t>Microchip</t>
  </si>
  <si>
    <t>TPA626-VR-S</t>
  </si>
  <si>
    <t>TPA626</t>
  </si>
  <si>
    <t>74ACT74MTC</t>
  </si>
  <si>
    <t>14-TSSOP</t>
  </si>
  <si>
    <t>ADG608BR</t>
  </si>
  <si>
    <t>SOIC-16</t>
  </si>
  <si>
    <t>ADG608BR SOIC-16</t>
  </si>
  <si>
    <t>16-SOIC</t>
  </si>
  <si>
    <t>RS2251XS16</t>
  </si>
  <si>
    <t>TP1961-TR</t>
  </si>
  <si>
    <t>TP1961-TR SOT23-5</t>
  </si>
  <si>
    <t>AD8065</t>
  </si>
  <si>
    <t>OPAMP</t>
  </si>
  <si>
    <t>AD7804</t>
  </si>
  <si>
    <t>AD7804BRZ</t>
  </si>
  <si>
    <t>ADA4851-2YRMZ-RL7</t>
  </si>
  <si>
    <t>LSM6DS3TR-C</t>
  </si>
  <si>
    <t>14-LGA</t>
  </si>
  <si>
    <t>74HC4052</t>
  </si>
  <si>
    <t>74HC4052D</t>
  </si>
  <si>
    <t>AD9288BSTZ-40</t>
  </si>
  <si>
    <t>AD9288</t>
  </si>
  <si>
    <t>INA125PA</t>
  </si>
  <si>
    <t>INA125</t>
  </si>
  <si>
    <t>AD7683BRMZ</t>
  </si>
  <si>
    <t>AD7683</t>
  </si>
  <si>
    <t>1EDB8275F</t>
  </si>
  <si>
    <t>1EDBx275F</t>
  </si>
  <si>
    <t>Infineon</t>
  </si>
  <si>
    <t>ADA4891-1ARZ</t>
  </si>
  <si>
    <t>ADG1201</t>
  </si>
  <si>
    <t>ADG1201BRJZ-R2</t>
  </si>
  <si>
    <t>ADA4891-4ARZ</t>
  </si>
  <si>
    <t>140УД20А ВК</t>
  </si>
  <si>
    <t>1401СА1 ММ</t>
  </si>
  <si>
    <t>140УД20А</t>
  </si>
  <si>
    <t>14-DIP</t>
  </si>
  <si>
    <t>АЕЯР.431130.149-03ТУ</t>
  </si>
  <si>
    <t>590КН13</t>
  </si>
  <si>
    <t>1156ЕУ2</t>
  </si>
  <si>
    <t>АЕЯР.431420.007-02ТУ</t>
  </si>
  <si>
    <t xml:space="preserve">1401СА1 </t>
  </si>
  <si>
    <t>АЕЯР.431130.171-14ТУ</t>
  </si>
  <si>
    <t>AD5160</t>
  </si>
  <si>
    <t>SOT23-8</t>
  </si>
  <si>
    <t>74HC4051PW</t>
  </si>
  <si>
    <t>74HC4051</t>
  </si>
  <si>
    <t>Nexperia</t>
  </si>
  <si>
    <t>ADA4851-1YRJZ-RL7</t>
  </si>
  <si>
    <r>
      <t>AD8138</t>
    </r>
    <r>
      <rPr>
        <sz val="10"/>
        <color rgb="FF000000"/>
        <rFont val="Inter"/>
      </rPr>
      <t>ARZ</t>
    </r>
  </si>
  <si>
    <t>AD8138</t>
  </si>
  <si>
    <t>74LVC1T45</t>
  </si>
  <si>
    <t>74LVC2T45</t>
  </si>
  <si>
    <t>TPC116S1 MSOP-8</t>
  </si>
  <si>
    <t>AD7804BRZ SOIC-16W</t>
  </si>
  <si>
    <t>MSOP-8</t>
  </si>
  <si>
    <t>LQFP-48</t>
  </si>
  <si>
    <t>LQFP-64</t>
  </si>
  <si>
    <t>DIP-14</t>
  </si>
  <si>
    <t>1401СА1 ММ DIP-14</t>
  </si>
  <si>
    <t>1401СА1</t>
  </si>
  <si>
    <t>74HC4051PW TSSOP-16</t>
  </si>
  <si>
    <t>ISL29033IROZ-T7 ODFN-6</t>
  </si>
  <si>
    <t>ISL29003IROZ-T7 ODFN-6</t>
  </si>
  <si>
    <t>LSM6DS3TR-C LGA-14</t>
  </si>
  <si>
    <t>LGA-14</t>
  </si>
  <si>
    <t>IRS-B210ST01-R1 5-SMD</t>
  </si>
  <si>
    <t>AD5160BRJZ5-RL7</t>
  </si>
  <si>
    <t>CD4066BM96</t>
  </si>
  <si>
    <t>CD4066B</t>
  </si>
  <si>
    <t>CD4066BM96 14-SOIC</t>
  </si>
  <si>
    <t>LM239DR</t>
  </si>
  <si>
    <t>LM239</t>
  </si>
  <si>
    <t>LM239DR 14-SOIC</t>
  </si>
  <si>
    <t>TL072IDT</t>
  </si>
  <si>
    <t>LM124DR</t>
  </si>
  <si>
    <r>
      <t>LF353</t>
    </r>
    <r>
      <rPr>
        <sz val="11"/>
        <color rgb="FF000000"/>
        <rFont val="Calibri"/>
        <family val="2"/>
        <charset val="204"/>
        <scheme val="minor"/>
      </rPr>
      <t>D</t>
    </r>
  </si>
  <si>
    <t>ADG409BRZ</t>
  </si>
  <si>
    <t>ADG409</t>
  </si>
  <si>
    <t>ADG409BRZ 16-SOIC</t>
  </si>
  <si>
    <t>TS391</t>
  </si>
  <si>
    <r>
      <t>TS391</t>
    </r>
    <r>
      <rPr>
        <sz val="11"/>
        <color rgb="FF000000"/>
        <rFont val="Calibri"/>
        <family val="2"/>
        <charset val="204"/>
        <scheme val="minor"/>
      </rPr>
      <t>ILT</t>
    </r>
  </si>
  <si>
    <r>
      <t>TS391</t>
    </r>
    <r>
      <rPr>
        <sz val="11"/>
        <color rgb="FF000000"/>
        <rFont val="Calibri"/>
        <family val="2"/>
        <charset val="204"/>
        <scheme val="minor"/>
      </rPr>
      <t>ILT</t>
    </r>
    <r>
      <rPr>
        <sz val="11"/>
        <color theme="1"/>
        <rFont val="Calibri"/>
        <family val="2"/>
        <charset val="204"/>
        <scheme val="minor"/>
      </rPr>
      <t xml:space="preserve"> SOT23-5</t>
    </r>
  </si>
  <si>
    <t>ADG442BRZ</t>
  </si>
  <si>
    <t>ADG44(1/2)</t>
  </si>
  <si>
    <t>ADG442BRZ SOIC-16</t>
  </si>
  <si>
    <t>MAX22530AWE+</t>
  </si>
  <si>
    <t>MAX22530</t>
  </si>
  <si>
    <t>SN74AVC4T774</t>
  </si>
  <si>
    <t>SN74AVC4T774PW</t>
  </si>
  <si>
    <t>ADuM1402CRW</t>
  </si>
  <si>
    <t>ADUM1402</t>
  </si>
  <si>
    <r>
      <t>LF253</t>
    </r>
    <r>
      <rPr>
        <sz val="11"/>
        <color rgb="FF000000"/>
        <rFont val="Calibri"/>
        <family val="2"/>
        <charset val="204"/>
        <scheme val="minor"/>
      </rPr>
      <t>D</t>
    </r>
  </si>
  <si>
    <t>OPA2131UA</t>
  </si>
  <si>
    <t>TL331</t>
  </si>
  <si>
    <t>TL331KDBVR</t>
  </si>
  <si>
    <t>DG409</t>
  </si>
  <si>
    <t>Vishay</t>
  </si>
  <si>
    <t>DG409DY-T1-E3</t>
  </si>
  <si>
    <t>B_temp_sens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</si>
</sst>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rgb="FF000000"/>
      <name val="Inter"/>
    </font>
    <font>
      <sz val="11"/>
      <color rgb="FF000000"/>
      <name val="Calibri"/>
      <family val="2"/>
      <charset val="204"/>
      <scheme val="minor"/>
    </font>
    <font>
      <b/>
      <sz val="10"/>
      <color rgb="FF000000"/>
      <name val="Inte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49" fontId="1" fillId="2" borderId="0" xfId="1" applyNumberFormat="1" applyBorder="1" applyAlignment="1" applyProtection="1"/>
    <xf numFmtId="49" fontId="0" fillId="0" borderId="0" xfId="0" applyNumberFormat="1"/>
    <xf numFmtId="0" fontId="4" fillId="0" borderId="0" xfId="0" applyFont="1"/>
  </cellXfs>
  <cellStyles count="2">
    <cellStyle name="Accent 3 2" xfId="1" xr:uid="{07D6D35A-A25D-4183-ACA2-756DA14CBAEA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1D6E-5D55-4C0C-9FE7-A86F937C6875}">
  <dimension ref="A1:H11"/>
  <sheetViews>
    <sheetView zoomScaleNormal="100" workbookViewId="0">
      <selection activeCell="E15" sqref="E15"/>
    </sheetView>
  </sheetViews>
  <sheetFormatPr defaultColWidth="8.85546875" defaultRowHeight="15"/>
  <cols>
    <col min="1" max="2" width="20.85546875" customWidth="1"/>
    <col min="3" max="3" width="25.85546875" customWidth="1"/>
    <col min="4" max="8" width="20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20</v>
      </c>
      <c r="B2" t="s">
        <v>229</v>
      </c>
      <c r="C2" t="str">
        <f t="shared" ref="C2:C10" si="0">_xlfn.CONCAT(D2, " ", B2)</f>
        <v>AD7655ASTZ LQFP-48</v>
      </c>
      <c r="D2" t="s">
        <v>20</v>
      </c>
      <c r="E2" t="s">
        <v>21</v>
      </c>
      <c r="F2" t="s">
        <v>22</v>
      </c>
      <c r="G2" t="s">
        <v>23</v>
      </c>
    </row>
    <row r="3" spans="1:8">
      <c r="A3" t="s">
        <v>24</v>
      </c>
      <c r="B3" t="s">
        <v>25</v>
      </c>
      <c r="C3" t="str">
        <f t="shared" si="0"/>
        <v>ADC088S022CIMT TSSOP-16</v>
      </c>
      <c r="D3" t="s">
        <v>24</v>
      </c>
      <c r="E3" t="s">
        <v>26</v>
      </c>
      <c r="F3" t="s">
        <v>27</v>
      </c>
      <c r="G3" t="s">
        <v>28</v>
      </c>
    </row>
    <row r="4" spans="1:8">
      <c r="A4" t="s">
        <v>29</v>
      </c>
      <c r="B4" t="s">
        <v>25</v>
      </c>
      <c r="C4" t="str">
        <f t="shared" si="0"/>
        <v>ADS1120IPWR TSSOP-16</v>
      </c>
      <c r="D4" t="s">
        <v>29</v>
      </c>
      <c r="E4" t="s">
        <v>30</v>
      </c>
      <c r="F4" t="s">
        <v>27</v>
      </c>
      <c r="G4" t="s">
        <v>28</v>
      </c>
    </row>
    <row r="5" spans="1:8">
      <c r="A5" t="s">
        <v>31</v>
      </c>
      <c r="B5" t="s">
        <v>32</v>
      </c>
      <c r="C5" t="str">
        <f t="shared" si="0"/>
        <v>ADS1286U SOIC-8</v>
      </c>
      <c r="D5" t="s">
        <v>31</v>
      </c>
      <c r="E5" t="s">
        <v>33</v>
      </c>
      <c r="F5" t="s">
        <v>34</v>
      </c>
      <c r="G5" t="s">
        <v>23</v>
      </c>
    </row>
    <row r="6" spans="1:8">
      <c r="A6" t="s">
        <v>35</v>
      </c>
      <c r="B6" t="s">
        <v>229</v>
      </c>
      <c r="C6" t="str">
        <f t="shared" si="0"/>
        <v>ADS1602IPFBT LQFP-48</v>
      </c>
      <c r="D6" t="s">
        <v>35</v>
      </c>
      <c r="E6" t="s">
        <v>36</v>
      </c>
      <c r="F6" t="s">
        <v>22</v>
      </c>
      <c r="G6" t="s">
        <v>28</v>
      </c>
    </row>
    <row r="7" spans="1:8">
      <c r="A7" t="s">
        <v>37</v>
      </c>
      <c r="B7" t="s">
        <v>38</v>
      </c>
      <c r="C7" t="str">
        <f t="shared" si="0"/>
        <v>ADS1605IPAPT HTQFP-64</v>
      </c>
      <c r="D7" t="s">
        <v>37</v>
      </c>
      <c r="E7" t="s">
        <v>39</v>
      </c>
      <c r="F7" t="s">
        <v>40</v>
      </c>
      <c r="G7" t="s">
        <v>28</v>
      </c>
    </row>
    <row r="8" spans="1:8">
      <c r="A8" t="s">
        <v>41</v>
      </c>
      <c r="B8" t="s">
        <v>230</v>
      </c>
      <c r="C8" t="str">
        <f t="shared" si="0"/>
        <v>ADS1675IPAG LQFP-64</v>
      </c>
      <c r="D8" t="s">
        <v>41</v>
      </c>
      <c r="E8" t="s">
        <v>41</v>
      </c>
      <c r="F8" t="s">
        <v>42</v>
      </c>
      <c r="G8" t="s">
        <v>28</v>
      </c>
    </row>
    <row r="9" spans="1:8">
      <c r="A9" t="s">
        <v>193</v>
      </c>
      <c r="B9" t="s">
        <v>229</v>
      </c>
      <c r="C9" t="str">
        <f t="shared" si="0"/>
        <v>AD9288BSTZ-40 LQFP-48</v>
      </c>
      <c r="D9" t="s">
        <v>193</v>
      </c>
      <c r="E9" t="s">
        <v>194</v>
      </c>
      <c r="F9" t="s">
        <v>22</v>
      </c>
      <c r="G9" t="s">
        <v>23</v>
      </c>
    </row>
    <row r="10" spans="1:8">
      <c r="A10" t="s">
        <v>197</v>
      </c>
      <c r="B10" t="s">
        <v>228</v>
      </c>
      <c r="C10" t="str">
        <f t="shared" si="0"/>
        <v>AD7683BRMZ MSOP-8</v>
      </c>
      <c r="D10" t="s">
        <v>197</v>
      </c>
      <c r="E10" t="s">
        <v>198</v>
      </c>
      <c r="F10" t="s">
        <v>109</v>
      </c>
      <c r="G10" t="s">
        <v>23</v>
      </c>
    </row>
    <row r="11" spans="1:8">
      <c r="A11" t="s">
        <v>259</v>
      </c>
      <c r="B11" t="s">
        <v>167</v>
      </c>
      <c r="C11" t="str">
        <f>_xlfn.CONCAT(D11, " ", B11)</f>
        <v>MAX22530AWE+ 16-SOIC (W)</v>
      </c>
      <c r="D11" t="s">
        <v>259</v>
      </c>
      <c r="E11" t="s">
        <v>260</v>
      </c>
      <c r="F11" t="s">
        <v>167</v>
      </c>
      <c r="G11" t="s">
        <v>23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4B2D-3CFC-49B2-A2B4-67F2231F306F}">
  <dimension ref="A1:H8"/>
  <sheetViews>
    <sheetView zoomScaleNormal="100" workbookViewId="0">
      <selection activeCell="E10" sqref="E10"/>
    </sheetView>
  </sheetViews>
  <sheetFormatPr defaultColWidth="8.85546875" defaultRowHeight="15"/>
  <cols>
    <col min="1" max="2" width="20.85546875" customWidth="1"/>
    <col min="3" max="3" width="34.7109375" customWidth="1"/>
    <col min="4" max="8" width="20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43</v>
      </c>
      <c r="B2" t="s">
        <v>44</v>
      </c>
      <c r="C2" t="s">
        <v>45</v>
      </c>
      <c r="D2" t="s">
        <v>43</v>
      </c>
      <c r="E2" t="s">
        <v>224</v>
      </c>
      <c r="F2" t="s">
        <v>44</v>
      </c>
      <c r="G2" t="s">
        <v>28</v>
      </c>
    </row>
    <row r="3" spans="1:8">
      <c r="A3" t="s">
        <v>46</v>
      </c>
      <c r="B3" t="s">
        <v>47</v>
      </c>
      <c r="C3" t="s">
        <v>48</v>
      </c>
      <c r="D3" t="s">
        <v>46</v>
      </c>
      <c r="E3" t="s">
        <v>225</v>
      </c>
      <c r="F3" t="s">
        <v>49</v>
      </c>
      <c r="G3" t="s">
        <v>28</v>
      </c>
    </row>
    <row r="4" spans="1:8">
      <c r="A4" t="s">
        <v>50</v>
      </c>
      <c r="B4" t="s">
        <v>51</v>
      </c>
      <c r="C4" t="s">
        <v>52</v>
      </c>
      <c r="D4" t="s">
        <v>50</v>
      </c>
      <c r="E4" t="s">
        <v>53</v>
      </c>
      <c r="F4" t="s">
        <v>54</v>
      </c>
      <c r="G4" t="s">
        <v>55</v>
      </c>
    </row>
    <row r="5" spans="1:8">
      <c r="A5" t="s">
        <v>56</v>
      </c>
      <c r="B5" t="s">
        <v>57</v>
      </c>
      <c r="C5" t="s">
        <v>58</v>
      </c>
      <c r="D5" t="s">
        <v>56</v>
      </c>
      <c r="E5" t="s">
        <v>59</v>
      </c>
      <c r="F5" t="s">
        <v>57</v>
      </c>
      <c r="H5" t="s">
        <v>60</v>
      </c>
    </row>
    <row r="6" spans="1:8">
      <c r="A6" t="s">
        <v>61</v>
      </c>
      <c r="B6" t="s">
        <v>62</v>
      </c>
      <c r="C6" t="s">
        <v>63</v>
      </c>
      <c r="D6" t="s">
        <v>61</v>
      </c>
      <c r="E6" t="s">
        <v>64</v>
      </c>
      <c r="F6" t="s">
        <v>62</v>
      </c>
      <c r="H6" t="s">
        <v>60</v>
      </c>
    </row>
    <row r="7" spans="1:8">
      <c r="A7" t="s">
        <v>65</v>
      </c>
      <c r="B7" t="s">
        <v>47</v>
      </c>
      <c r="C7" t="s">
        <v>66</v>
      </c>
      <c r="D7" t="s">
        <v>65</v>
      </c>
      <c r="E7" t="s">
        <v>65</v>
      </c>
      <c r="F7" t="s">
        <v>49</v>
      </c>
      <c r="G7" t="s">
        <v>67</v>
      </c>
    </row>
    <row r="8" spans="1:8">
      <c r="A8" t="s">
        <v>262</v>
      </c>
      <c r="B8" t="s">
        <v>27</v>
      </c>
      <c r="C8" t="str">
        <f>_xlfn.CONCAT(D8, " ", B8)</f>
        <v>SN74AVC4T774PW 16-TSSOP</v>
      </c>
      <c r="D8" t="s">
        <v>262</v>
      </c>
      <c r="E8" t="s">
        <v>261</v>
      </c>
      <c r="F8" t="s">
        <v>27</v>
      </c>
      <c r="G8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8C3D-D832-496B-AB92-259D2AD291EC}">
  <dimension ref="A1:H10"/>
  <sheetViews>
    <sheetView zoomScaleNormal="100" workbookViewId="0">
      <selection activeCell="J20" sqref="J20"/>
    </sheetView>
  </sheetViews>
  <sheetFormatPr defaultColWidth="8.85546875" defaultRowHeight="15"/>
  <cols>
    <col min="1" max="2" width="20.85546875" customWidth="1"/>
    <col min="3" max="3" width="25.85546875" customWidth="1"/>
    <col min="4" max="8" width="20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68</v>
      </c>
      <c r="B2" s="2" t="s">
        <v>69</v>
      </c>
      <c r="C2" s="2" t="s">
        <v>70</v>
      </c>
      <c r="D2" s="2" t="s">
        <v>68</v>
      </c>
      <c r="E2" t="s">
        <v>71</v>
      </c>
      <c r="F2" t="s">
        <v>72</v>
      </c>
      <c r="G2" t="s">
        <v>23</v>
      </c>
    </row>
    <row r="3" spans="1:8">
      <c r="A3" t="s">
        <v>73</v>
      </c>
      <c r="B3" t="s">
        <v>32</v>
      </c>
      <c r="C3" t="s">
        <v>74</v>
      </c>
      <c r="D3" t="s">
        <v>73</v>
      </c>
      <c r="E3" t="s">
        <v>75</v>
      </c>
      <c r="F3" t="s">
        <v>34</v>
      </c>
      <c r="G3" t="s">
        <v>28</v>
      </c>
    </row>
    <row r="4" spans="1:8">
      <c r="A4" t="s">
        <v>76</v>
      </c>
      <c r="B4" t="s">
        <v>32</v>
      </c>
      <c r="C4" t="s">
        <v>77</v>
      </c>
      <c r="D4" t="s">
        <v>76</v>
      </c>
      <c r="E4" t="s">
        <v>78</v>
      </c>
      <c r="F4" t="s">
        <v>34</v>
      </c>
      <c r="G4" t="s">
        <v>28</v>
      </c>
    </row>
    <row r="5" spans="1:8">
      <c r="A5" t="s">
        <v>79</v>
      </c>
      <c r="B5" t="s">
        <v>80</v>
      </c>
      <c r="C5" t="s">
        <v>81</v>
      </c>
      <c r="D5" t="s">
        <v>79</v>
      </c>
      <c r="E5" t="s">
        <v>82</v>
      </c>
      <c r="F5" t="s">
        <v>83</v>
      </c>
      <c r="G5" t="s">
        <v>67</v>
      </c>
    </row>
    <row r="6" spans="1:8">
      <c r="A6" t="s">
        <v>182</v>
      </c>
      <c r="B6" t="s">
        <v>152</v>
      </c>
      <c r="C6" t="s">
        <v>183</v>
      </c>
      <c r="D6" t="s">
        <v>182</v>
      </c>
      <c r="E6" t="s">
        <v>82</v>
      </c>
      <c r="F6" t="s">
        <v>152</v>
      </c>
      <c r="G6" t="s">
        <v>110</v>
      </c>
    </row>
    <row r="7" spans="1:8">
      <c r="A7" t="s">
        <v>207</v>
      </c>
      <c r="B7" t="s">
        <v>231</v>
      </c>
      <c r="C7" t="s">
        <v>232</v>
      </c>
      <c r="D7" t="s">
        <v>214</v>
      </c>
      <c r="E7" t="s">
        <v>233</v>
      </c>
      <c r="F7" t="s">
        <v>209</v>
      </c>
      <c r="H7" t="s">
        <v>215</v>
      </c>
    </row>
    <row r="8" spans="1:8">
      <c r="A8" t="s">
        <v>244</v>
      </c>
      <c r="B8" t="s">
        <v>149</v>
      </c>
      <c r="C8" t="s">
        <v>246</v>
      </c>
      <c r="D8" t="s">
        <v>244</v>
      </c>
      <c r="E8" t="s">
        <v>245</v>
      </c>
      <c r="F8" t="s">
        <v>149</v>
      </c>
      <c r="G8" t="s">
        <v>28</v>
      </c>
    </row>
    <row r="9" spans="1:8">
      <c r="A9" t="s">
        <v>254</v>
      </c>
      <c r="B9" t="s">
        <v>152</v>
      </c>
      <c r="C9" t="s">
        <v>255</v>
      </c>
      <c r="D9" t="s">
        <v>254</v>
      </c>
      <c r="E9" t="s">
        <v>253</v>
      </c>
      <c r="F9" t="s">
        <v>152</v>
      </c>
      <c r="G9" s="2" t="s">
        <v>116</v>
      </c>
    </row>
    <row r="10" spans="1:8">
      <c r="A10" t="s">
        <v>268</v>
      </c>
      <c r="B10" t="s">
        <v>152</v>
      </c>
      <c r="C10" t="str">
        <f>_xlfn.CONCAT(D10, " ", B10)</f>
        <v>TL331KDBVR SOT23-5</v>
      </c>
      <c r="D10" t="s">
        <v>268</v>
      </c>
      <c r="E10" t="s">
        <v>267</v>
      </c>
      <c r="F10" t="s">
        <v>152</v>
      </c>
      <c r="G10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1208-6905-41A5-8CDA-45891F714057}">
  <dimension ref="A1:H11"/>
  <sheetViews>
    <sheetView zoomScaleNormal="100" workbookViewId="0"/>
  </sheetViews>
  <sheetFormatPr defaultColWidth="8.85546875" defaultRowHeight="15"/>
  <cols>
    <col min="1" max="2" width="20.85546875" customWidth="1"/>
    <col min="3" max="3" width="25.85546875" customWidth="1"/>
    <col min="4" max="8" width="20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84</v>
      </c>
      <c r="B2" t="s">
        <v>85</v>
      </c>
      <c r="C2" t="s">
        <v>86</v>
      </c>
      <c r="D2" t="s">
        <v>84</v>
      </c>
      <c r="E2" t="s">
        <v>84</v>
      </c>
      <c r="F2" t="s">
        <v>85</v>
      </c>
      <c r="H2" t="s">
        <v>87</v>
      </c>
    </row>
    <row r="3" spans="1:8">
      <c r="A3" t="s">
        <v>88</v>
      </c>
      <c r="B3" t="s">
        <v>89</v>
      </c>
      <c r="C3" t="s">
        <v>90</v>
      </c>
      <c r="D3" t="s">
        <v>88</v>
      </c>
      <c r="E3" t="s">
        <v>91</v>
      </c>
      <c r="F3" t="s">
        <v>92</v>
      </c>
      <c r="G3" t="s">
        <v>23</v>
      </c>
    </row>
    <row r="4" spans="1:8">
      <c r="A4" t="s">
        <v>93</v>
      </c>
      <c r="B4" t="s">
        <v>94</v>
      </c>
      <c r="C4" t="s">
        <v>95</v>
      </c>
      <c r="D4" t="s">
        <v>93</v>
      </c>
      <c r="E4" t="s">
        <v>96</v>
      </c>
      <c r="F4" t="s">
        <v>97</v>
      </c>
      <c r="G4" t="s">
        <v>23</v>
      </c>
    </row>
    <row r="5" spans="1:8">
      <c r="A5" s="2" t="s">
        <v>98</v>
      </c>
      <c r="B5" t="s">
        <v>44</v>
      </c>
      <c r="C5" t="s">
        <v>99</v>
      </c>
      <c r="D5" s="2" t="s">
        <v>98</v>
      </c>
      <c r="E5" t="s">
        <v>100</v>
      </c>
      <c r="F5" t="s">
        <v>44</v>
      </c>
      <c r="G5" t="s">
        <v>28</v>
      </c>
    </row>
    <row r="6" spans="1:8" ht="12.75" customHeight="1">
      <c r="A6" s="2" t="s">
        <v>101</v>
      </c>
      <c r="B6" t="s">
        <v>69</v>
      </c>
      <c r="C6" s="2" t="s">
        <v>102</v>
      </c>
      <c r="D6" s="2" t="s">
        <v>101</v>
      </c>
      <c r="E6" t="s">
        <v>103</v>
      </c>
      <c r="F6" t="s">
        <v>72</v>
      </c>
      <c r="G6" t="s">
        <v>28</v>
      </c>
    </row>
    <row r="7" spans="1:8" ht="12.75" customHeight="1">
      <c r="A7" s="2" t="s">
        <v>104</v>
      </c>
      <c r="B7" t="s">
        <v>69</v>
      </c>
      <c r="C7" s="2" t="s">
        <v>105</v>
      </c>
      <c r="D7" s="2" t="s">
        <v>104</v>
      </c>
      <c r="E7" t="s">
        <v>103</v>
      </c>
      <c r="F7" t="s">
        <v>72</v>
      </c>
      <c r="G7" t="s">
        <v>28</v>
      </c>
    </row>
    <row r="8" spans="1:8" ht="12.75" customHeight="1">
      <c r="A8" s="2" t="s">
        <v>106</v>
      </c>
      <c r="B8" t="s">
        <v>69</v>
      </c>
      <c r="C8" s="2" t="s">
        <v>107</v>
      </c>
      <c r="D8" s="2" t="s">
        <v>106</v>
      </c>
      <c r="E8" t="s">
        <v>103</v>
      </c>
      <c r="F8" t="s">
        <v>72</v>
      </c>
      <c r="G8" t="s">
        <v>28</v>
      </c>
    </row>
    <row r="9" spans="1:8">
      <c r="A9" s="2" t="s">
        <v>108</v>
      </c>
      <c r="B9" t="s">
        <v>228</v>
      </c>
      <c r="C9" s="2" t="s">
        <v>226</v>
      </c>
      <c r="D9" s="2" t="s">
        <v>108</v>
      </c>
      <c r="E9" s="2" t="s">
        <v>108</v>
      </c>
      <c r="F9" t="s">
        <v>109</v>
      </c>
      <c r="G9" t="s">
        <v>110</v>
      </c>
    </row>
    <row r="10" spans="1:8">
      <c r="A10" t="s">
        <v>111</v>
      </c>
      <c r="B10" t="s">
        <v>112</v>
      </c>
      <c r="C10" t="s">
        <v>113</v>
      </c>
      <c r="D10" t="s">
        <v>111</v>
      </c>
      <c r="E10" t="s">
        <v>114</v>
      </c>
      <c r="F10" t="s">
        <v>112</v>
      </c>
      <c r="H10" t="s">
        <v>115</v>
      </c>
    </row>
    <row r="11" spans="1:8">
      <c r="A11" s="2" t="s">
        <v>187</v>
      </c>
      <c r="B11" t="s">
        <v>165</v>
      </c>
      <c r="C11" s="2" t="s">
        <v>227</v>
      </c>
      <c r="D11" s="2" t="s">
        <v>187</v>
      </c>
      <c r="E11" t="s">
        <v>186</v>
      </c>
      <c r="F11" t="s">
        <v>167</v>
      </c>
      <c r="G1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17BF-F161-418A-9B8F-87A18459EBCD}">
  <dimension ref="A1:H6"/>
  <sheetViews>
    <sheetView zoomScaleNormal="100" workbookViewId="0"/>
  </sheetViews>
  <sheetFormatPr defaultColWidth="8.85546875" defaultRowHeight="15"/>
  <cols>
    <col min="1" max="8" width="20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</v>
      </c>
      <c r="C2" t="s">
        <v>12</v>
      </c>
      <c r="D2" t="s">
        <v>12</v>
      </c>
      <c r="E2" s="2" t="s">
        <v>13</v>
      </c>
      <c r="F2" t="s">
        <v>13</v>
      </c>
      <c r="G2" t="s">
        <v>14</v>
      </c>
    </row>
    <row r="3" spans="1:8">
      <c r="A3" t="s">
        <v>15</v>
      </c>
      <c r="C3" t="s">
        <v>15</v>
      </c>
      <c r="D3" t="s">
        <v>15</v>
      </c>
      <c r="E3" t="s">
        <v>16</v>
      </c>
      <c r="F3" t="s">
        <v>16</v>
      </c>
      <c r="G3" t="s">
        <v>14</v>
      </c>
    </row>
    <row r="4" spans="1:8">
      <c r="A4" t="s">
        <v>17</v>
      </c>
      <c r="C4" t="s">
        <v>17</v>
      </c>
      <c r="D4" t="s">
        <v>17</v>
      </c>
      <c r="E4" t="s">
        <v>16</v>
      </c>
      <c r="F4" t="s">
        <v>16</v>
      </c>
      <c r="G4" t="s">
        <v>14</v>
      </c>
    </row>
    <row r="5" spans="1:8">
      <c r="A5" t="s">
        <v>18</v>
      </c>
      <c r="C5" t="s">
        <v>18</v>
      </c>
      <c r="D5" t="s">
        <v>18</v>
      </c>
      <c r="E5" t="s">
        <v>16</v>
      </c>
      <c r="F5" t="s">
        <v>16</v>
      </c>
      <c r="G5" t="s">
        <v>14</v>
      </c>
    </row>
    <row r="6" spans="1:8">
      <c r="A6" t="s">
        <v>19</v>
      </c>
      <c r="C6" t="s">
        <v>19</v>
      </c>
      <c r="D6" t="s">
        <v>19</v>
      </c>
      <c r="E6" s="2" t="s">
        <v>19</v>
      </c>
      <c r="F6" s="2" t="s">
        <v>19</v>
      </c>
      <c r="G6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063C-A3E8-4F0D-BBD3-83031D2833E6}">
  <dimension ref="A1:H3"/>
  <sheetViews>
    <sheetView zoomScaleNormal="100" workbookViewId="0"/>
  </sheetViews>
  <sheetFormatPr defaultColWidth="8.85546875" defaultRowHeight="15"/>
  <cols>
    <col min="1" max="8" width="20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C2" t="s">
        <v>8</v>
      </c>
      <c r="D2" t="s">
        <v>8</v>
      </c>
      <c r="E2" s="2" t="s">
        <v>8</v>
      </c>
      <c r="F2" t="s">
        <v>9</v>
      </c>
      <c r="G2" t="s">
        <v>10</v>
      </c>
    </row>
    <row r="3" spans="1:8">
      <c r="A3" t="s">
        <v>11</v>
      </c>
      <c r="C3" t="s">
        <v>11</v>
      </c>
      <c r="D3" t="s">
        <v>11</v>
      </c>
      <c r="E3" s="2" t="s">
        <v>11</v>
      </c>
      <c r="F3" t="s">
        <v>11</v>
      </c>
      <c r="G3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C9C4-F4DF-4AC8-B50B-4BF5CA8F6EE6}">
  <dimension ref="A1:J21"/>
  <sheetViews>
    <sheetView zoomScaleNormal="100" workbookViewId="0">
      <selection activeCell="E21" sqref="E21"/>
    </sheetView>
  </sheetViews>
  <sheetFormatPr defaultColWidth="8.85546875" defaultRowHeight="15"/>
  <cols>
    <col min="1" max="2" width="20.85546875" customWidth="1"/>
    <col min="3" max="3" width="29.7109375" customWidth="1"/>
    <col min="4" max="8" width="20.8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2" t="s">
        <v>141</v>
      </c>
      <c r="B2" s="2" t="s">
        <v>32</v>
      </c>
      <c r="C2" t="str">
        <f t="shared" ref="C2:C18" si="0">_xlfn.CONCAT(D2, " ", B2)</f>
        <v>TLV2402ID SOIC-8</v>
      </c>
      <c r="D2" s="2" t="s">
        <v>141</v>
      </c>
      <c r="E2" s="2" t="s">
        <v>142</v>
      </c>
      <c r="F2" s="2" t="s">
        <v>34</v>
      </c>
      <c r="G2" s="2" t="s">
        <v>28</v>
      </c>
      <c r="H2" s="2"/>
      <c r="I2" s="2"/>
      <c r="J2" s="2"/>
    </row>
    <row r="3" spans="1:10">
      <c r="A3" s="2" t="s">
        <v>143</v>
      </c>
      <c r="B3" s="2" t="s">
        <v>144</v>
      </c>
      <c r="C3" t="str">
        <f t="shared" si="0"/>
        <v>ADA4851-4YRUZ TSSOP-14</v>
      </c>
      <c r="D3" s="2" t="s">
        <v>143</v>
      </c>
      <c r="E3" s="2" t="s">
        <v>145</v>
      </c>
      <c r="F3" s="2" t="s">
        <v>146</v>
      </c>
      <c r="G3" s="2" t="s">
        <v>23</v>
      </c>
      <c r="H3" s="2"/>
      <c r="I3" s="2"/>
      <c r="J3" s="2"/>
    </row>
    <row r="4" spans="1:10">
      <c r="A4" s="2" t="s">
        <v>147</v>
      </c>
      <c r="B4" s="2" t="s">
        <v>148</v>
      </c>
      <c r="C4" t="str">
        <f t="shared" si="0"/>
        <v>RS624PXP SOIC-14</v>
      </c>
      <c r="D4" s="2" t="s">
        <v>147</v>
      </c>
      <c r="E4" s="2" t="s">
        <v>145</v>
      </c>
      <c r="F4" s="2" t="s">
        <v>149</v>
      </c>
      <c r="G4" s="2" t="s">
        <v>67</v>
      </c>
      <c r="H4" s="2"/>
      <c r="I4" s="2"/>
      <c r="J4" s="2"/>
    </row>
    <row r="5" spans="1:10">
      <c r="A5" s="2" t="s">
        <v>150</v>
      </c>
      <c r="B5" s="2" t="s">
        <v>32</v>
      </c>
      <c r="C5" t="str">
        <f t="shared" si="0"/>
        <v>RS622PXK SOIC-8</v>
      </c>
      <c r="D5" s="2" t="s">
        <v>150</v>
      </c>
      <c r="E5" s="2" t="s">
        <v>142</v>
      </c>
      <c r="F5" s="2" t="s">
        <v>34</v>
      </c>
      <c r="G5" s="2" t="s">
        <v>67</v>
      </c>
      <c r="H5" s="2"/>
      <c r="I5" s="2"/>
      <c r="J5" s="2"/>
    </row>
    <row r="6" spans="1:10">
      <c r="A6" s="2" t="s">
        <v>151</v>
      </c>
      <c r="B6" s="2" t="s">
        <v>152</v>
      </c>
      <c r="C6" t="str">
        <f t="shared" si="0"/>
        <v>RS621PXF SOT23-5</v>
      </c>
      <c r="D6" s="2" t="s">
        <v>151</v>
      </c>
      <c r="E6" s="2" t="s">
        <v>153</v>
      </c>
      <c r="F6" s="2" t="s">
        <v>152</v>
      </c>
      <c r="G6" s="2" t="s">
        <v>67</v>
      </c>
      <c r="H6" s="2"/>
      <c r="I6" s="2"/>
      <c r="J6" s="2"/>
    </row>
    <row r="7" spans="1:10">
      <c r="A7" s="2" t="s">
        <v>154</v>
      </c>
      <c r="B7" s="2" t="s">
        <v>152</v>
      </c>
      <c r="C7" t="str">
        <f t="shared" si="0"/>
        <v>TLV271CD SOT23-5</v>
      </c>
      <c r="D7" s="2" t="s">
        <v>154</v>
      </c>
      <c r="E7" s="2" t="s">
        <v>155</v>
      </c>
      <c r="F7" s="2" t="s">
        <v>152</v>
      </c>
      <c r="G7" s="2" t="s">
        <v>28</v>
      </c>
      <c r="H7" s="2"/>
      <c r="I7" s="2"/>
      <c r="J7" s="2"/>
    </row>
    <row r="8" spans="1:10">
      <c r="A8" s="2" t="s">
        <v>184</v>
      </c>
      <c r="B8" s="2" t="s">
        <v>32</v>
      </c>
      <c r="C8" t="str">
        <f t="shared" si="0"/>
        <v>AD8065 SOIC-8</v>
      </c>
      <c r="D8" s="2" t="s">
        <v>184</v>
      </c>
      <c r="E8" s="2" t="s">
        <v>185</v>
      </c>
      <c r="F8" s="2" t="s">
        <v>34</v>
      </c>
      <c r="G8" s="2" t="s">
        <v>23</v>
      </c>
      <c r="H8" s="2"/>
      <c r="I8" s="2"/>
      <c r="J8" s="2"/>
    </row>
    <row r="9" spans="1:10">
      <c r="A9" s="2" t="s">
        <v>221</v>
      </c>
      <c r="B9" s="2" t="s">
        <v>44</v>
      </c>
      <c r="C9" t="str">
        <f t="shared" si="0"/>
        <v>ADA4851-1YRJZ-RL7 SOT23-6</v>
      </c>
      <c r="D9" s="2" t="s">
        <v>221</v>
      </c>
      <c r="E9" s="2" t="s">
        <v>221</v>
      </c>
      <c r="F9" s="2" t="s">
        <v>44</v>
      </c>
      <c r="G9" s="2" t="s">
        <v>23</v>
      </c>
      <c r="H9" s="2"/>
      <c r="I9" s="2"/>
      <c r="J9" s="2"/>
    </row>
    <row r="10" spans="1:10">
      <c r="A10" s="2" t="s">
        <v>188</v>
      </c>
      <c r="B10" s="2" t="s">
        <v>109</v>
      </c>
      <c r="C10" t="str">
        <f t="shared" si="0"/>
        <v>ADA4851-2YRMZ-RL7 8-MSOP</v>
      </c>
      <c r="D10" s="2" t="s">
        <v>188</v>
      </c>
      <c r="E10" s="2" t="s">
        <v>142</v>
      </c>
      <c r="F10" s="2" t="s">
        <v>109</v>
      </c>
      <c r="G10" s="2" t="s">
        <v>23</v>
      </c>
      <c r="H10" s="2"/>
      <c r="I10" s="2"/>
      <c r="J10" s="2"/>
    </row>
    <row r="11" spans="1:10">
      <c r="A11" s="2" t="s">
        <v>195</v>
      </c>
      <c r="B11" s="2" t="s">
        <v>178</v>
      </c>
      <c r="C11" t="str">
        <f t="shared" si="0"/>
        <v>INA125PA SOIC-16</v>
      </c>
      <c r="D11" s="2" t="s">
        <v>195</v>
      </c>
      <c r="E11" s="2" t="s">
        <v>196</v>
      </c>
      <c r="F11" s="2" t="s">
        <v>180</v>
      </c>
      <c r="G11" s="2" t="s">
        <v>28</v>
      </c>
      <c r="H11" s="2"/>
      <c r="I11" s="2"/>
      <c r="J11" s="2"/>
    </row>
    <row r="12" spans="1:10">
      <c r="A12" s="2" t="s">
        <v>202</v>
      </c>
      <c r="B12" s="2" t="s">
        <v>32</v>
      </c>
      <c r="C12" t="str">
        <f t="shared" si="0"/>
        <v>ADA4891-1ARZ SOIC-8</v>
      </c>
      <c r="D12" s="2" t="s">
        <v>202</v>
      </c>
      <c r="E12" s="2" t="s">
        <v>185</v>
      </c>
      <c r="F12" s="2" t="s">
        <v>34</v>
      </c>
      <c r="G12" s="2" t="s">
        <v>23</v>
      </c>
      <c r="H12" s="2"/>
      <c r="I12" s="2"/>
      <c r="J12" s="2"/>
    </row>
    <row r="13" spans="1:10">
      <c r="A13" s="2" t="s">
        <v>205</v>
      </c>
      <c r="B13" s="2" t="s">
        <v>148</v>
      </c>
      <c r="C13" t="str">
        <f t="shared" si="0"/>
        <v>ADA4891-4ARZ SOIC-14</v>
      </c>
      <c r="D13" s="2" t="s">
        <v>205</v>
      </c>
      <c r="E13" s="2" t="s">
        <v>145</v>
      </c>
      <c r="F13" s="2" t="s">
        <v>149</v>
      </c>
      <c r="G13" s="2" t="s">
        <v>23</v>
      </c>
      <c r="H13" s="2"/>
      <c r="I13" s="2"/>
      <c r="J13" s="2"/>
    </row>
    <row r="14" spans="1:10">
      <c r="A14" s="2" t="s">
        <v>206</v>
      </c>
      <c r="B14" s="2" t="s">
        <v>231</v>
      </c>
      <c r="C14" t="str">
        <f t="shared" si="0"/>
        <v>140УД20А ВК DIP-14</v>
      </c>
      <c r="D14" s="2" t="s">
        <v>206</v>
      </c>
      <c r="E14" s="2" t="s">
        <v>208</v>
      </c>
      <c r="F14" s="2" t="s">
        <v>209</v>
      </c>
      <c r="G14" s="2"/>
      <c r="H14" s="2" t="s">
        <v>210</v>
      </c>
      <c r="I14" s="2"/>
      <c r="J14" s="2"/>
    </row>
    <row r="15" spans="1:10">
      <c r="A15" s="2" t="s">
        <v>222</v>
      </c>
      <c r="B15" s="2" t="s">
        <v>32</v>
      </c>
      <c r="C15" t="str">
        <f t="shared" si="0"/>
        <v>AD8138 SOIC-8</v>
      </c>
      <c r="D15" s="2" t="s">
        <v>223</v>
      </c>
      <c r="E15" s="2" t="s">
        <v>223</v>
      </c>
      <c r="F15" s="2" t="s">
        <v>34</v>
      </c>
      <c r="G15" s="2" t="s">
        <v>23</v>
      </c>
      <c r="H15" s="2"/>
      <c r="I15" s="2"/>
      <c r="J15" s="2"/>
    </row>
    <row r="16" spans="1:10">
      <c r="A16" s="2" t="s">
        <v>247</v>
      </c>
      <c r="B16" s="2" t="s">
        <v>32</v>
      </c>
      <c r="C16" t="str">
        <f t="shared" si="0"/>
        <v>TL072IDT SOIC-8</v>
      </c>
      <c r="D16" s="2" t="s">
        <v>247</v>
      </c>
      <c r="E16" s="2" t="s">
        <v>142</v>
      </c>
      <c r="F16" s="2" t="s">
        <v>34</v>
      </c>
      <c r="G16" s="2" t="s">
        <v>116</v>
      </c>
      <c r="H16" s="2"/>
      <c r="I16" s="2"/>
      <c r="J16" s="2"/>
    </row>
    <row r="17" spans="1:10">
      <c r="A17" s="2" t="s">
        <v>248</v>
      </c>
      <c r="B17" s="2" t="s">
        <v>148</v>
      </c>
      <c r="C17" t="str">
        <f t="shared" si="0"/>
        <v>LM124DR SOIC-14</v>
      </c>
      <c r="D17" s="2" t="s">
        <v>248</v>
      </c>
      <c r="E17" s="2" t="s">
        <v>145</v>
      </c>
      <c r="F17" s="2" t="s">
        <v>149</v>
      </c>
      <c r="G17" s="2" t="s">
        <v>28</v>
      </c>
      <c r="H17" s="2"/>
      <c r="I17" s="2"/>
      <c r="J17" s="2"/>
    </row>
    <row r="18" spans="1:10">
      <c r="A18" s="2" t="s">
        <v>249</v>
      </c>
      <c r="B18" s="2" t="s">
        <v>32</v>
      </c>
      <c r="C18" t="str">
        <f t="shared" si="0"/>
        <v>LF353D SOIC-8</v>
      </c>
      <c r="D18" s="2" t="s">
        <v>249</v>
      </c>
      <c r="E18" s="2" t="s">
        <v>142</v>
      </c>
      <c r="F18" s="2" t="s">
        <v>34</v>
      </c>
      <c r="G18" s="2" t="s">
        <v>116</v>
      </c>
      <c r="H18" s="2"/>
      <c r="I18" s="2"/>
      <c r="J18" s="2"/>
    </row>
    <row r="19" spans="1:10">
      <c r="A19" s="2" t="s">
        <v>265</v>
      </c>
      <c r="B19" s="2" t="s">
        <v>32</v>
      </c>
      <c r="C19" t="str">
        <f>_xlfn.CONCAT(D19, " ", B19)</f>
        <v>LF253D SOIC-8</v>
      </c>
      <c r="D19" s="2" t="s">
        <v>265</v>
      </c>
      <c r="E19" s="2" t="s">
        <v>142</v>
      </c>
      <c r="F19" s="2" t="s">
        <v>34</v>
      </c>
      <c r="G19" s="2" t="s">
        <v>116</v>
      </c>
      <c r="H19" s="2"/>
      <c r="I19" s="2"/>
      <c r="J19" s="2"/>
    </row>
    <row r="20" spans="1:10">
      <c r="A20" s="3" t="s">
        <v>266</v>
      </c>
      <c r="B20" s="2" t="s">
        <v>32</v>
      </c>
      <c r="C20" t="str">
        <f>_xlfn.CONCAT(D20, " ", B20)</f>
        <v>OPA2131UA SOIC-8</v>
      </c>
      <c r="D20" s="3" t="s">
        <v>266</v>
      </c>
      <c r="E20" s="2" t="s">
        <v>142</v>
      </c>
      <c r="F20" s="2" t="s">
        <v>34</v>
      </c>
      <c r="G20" s="2" t="s">
        <v>28</v>
      </c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ABE5-1DA9-4AF4-85F1-A7A6190653DE}">
  <dimension ref="A1:H8"/>
  <sheetViews>
    <sheetView workbookViewId="0">
      <selection activeCell="L13" sqref="L13"/>
    </sheetView>
  </sheetViews>
  <sheetFormatPr defaultRowHeight="15"/>
  <cols>
    <col min="1" max="1" width="25.28515625" customWidth="1"/>
    <col min="2" max="2" width="11.7109375" customWidth="1"/>
    <col min="3" max="3" width="28.140625" customWidth="1"/>
    <col min="4" max="4" width="20.140625" customWidth="1"/>
    <col min="5" max="5" width="23.28515625" customWidth="1"/>
    <col min="6" max="6" width="19.140625" customWidth="1"/>
    <col min="7" max="7" width="1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250</v>
      </c>
      <c r="B2" t="s">
        <v>180</v>
      </c>
      <c r="C2" t="s">
        <v>252</v>
      </c>
      <c r="D2" t="s">
        <v>250</v>
      </c>
      <c r="E2" t="s">
        <v>251</v>
      </c>
      <c r="F2" t="s">
        <v>180</v>
      </c>
      <c r="G2" t="s">
        <v>23</v>
      </c>
    </row>
    <row r="3" spans="1:8">
      <c r="A3" t="s">
        <v>241</v>
      </c>
      <c r="B3" t="s">
        <v>149</v>
      </c>
      <c r="C3" t="s">
        <v>243</v>
      </c>
      <c r="D3" t="s">
        <v>241</v>
      </c>
      <c r="E3" t="s">
        <v>242</v>
      </c>
      <c r="F3" t="s">
        <v>149</v>
      </c>
      <c r="G3" t="s">
        <v>28</v>
      </c>
    </row>
    <row r="4" spans="1:8">
      <c r="A4" t="s">
        <v>218</v>
      </c>
      <c r="B4" t="s">
        <v>25</v>
      </c>
      <c r="C4" t="s">
        <v>234</v>
      </c>
      <c r="D4" t="s">
        <v>218</v>
      </c>
      <c r="E4" t="s">
        <v>219</v>
      </c>
      <c r="F4" t="s">
        <v>27</v>
      </c>
      <c r="G4" t="s">
        <v>220</v>
      </c>
    </row>
    <row r="5" spans="1:8">
      <c r="A5" t="s">
        <v>177</v>
      </c>
      <c r="B5" t="s">
        <v>178</v>
      </c>
      <c r="C5" t="s">
        <v>179</v>
      </c>
      <c r="D5" t="s">
        <v>177</v>
      </c>
      <c r="E5" t="s">
        <v>177</v>
      </c>
      <c r="F5" t="s">
        <v>180</v>
      </c>
      <c r="G5" t="s">
        <v>23</v>
      </c>
    </row>
    <row r="6" spans="1:8">
      <c r="A6" t="s">
        <v>211</v>
      </c>
      <c r="C6" t="s">
        <v>211</v>
      </c>
      <c r="D6" t="s">
        <v>211</v>
      </c>
      <c r="E6" t="s">
        <v>211</v>
      </c>
      <c r="F6" t="s">
        <v>212</v>
      </c>
      <c r="H6" t="s">
        <v>213</v>
      </c>
    </row>
    <row r="7" spans="1:8">
      <c r="A7" t="s">
        <v>256</v>
      </c>
      <c r="B7" t="s">
        <v>178</v>
      </c>
      <c r="C7" t="s">
        <v>258</v>
      </c>
      <c r="D7" t="s">
        <v>256</v>
      </c>
      <c r="E7" t="s">
        <v>257</v>
      </c>
      <c r="F7" t="s">
        <v>180</v>
      </c>
      <c r="G7" t="s">
        <v>23</v>
      </c>
    </row>
    <row r="8" spans="1:8">
      <c r="A8" t="s">
        <v>271</v>
      </c>
      <c r="B8" t="s">
        <v>178</v>
      </c>
      <c r="C8" t="str">
        <f>_xlfn.CONCAT(D8, " ", B8)</f>
        <v>DG409DY-T1-E3 SOIC-16</v>
      </c>
      <c r="D8" t="s">
        <v>271</v>
      </c>
      <c r="E8" t="s">
        <v>269</v>
      </c>
      <c r="F8" t="s">
        <v>180</v>
      </c>
      <c r="G8" t="s">
        <v>270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7F01-F832-4718-B945-C43E22A8DD17}">
  <dimension ref="A1:L9"/>
  <sheetViews>
    <sheetView tabSelected="1" zoomScaleNormal="100" workbookViewId="0">
      <selection activeCell="B15" sqref="B15"/>
    </sheetView>
  </sheetViews>
  <sheetFormatPr defaultColWidth="8.85546875" defaultRowHeight="15"/>
  <cols>
    <col min="1" max="2" width="20.85546875" customWidth="1"/>
    <col min="3" max="3" width="25.85546875" customWidth="1"/>
    <col min="4" max="8" width="20.8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s="2" customFormat="1">
      <c r="A2" s="2" t="s">
        <v>127</v>
      </c>
      <c r="B2" t="s">
        <v>123</v>
      </c>
      <c r="C2" t="s">
        <v>236</v>
      </c>
      <c r="D2" t="s">
        <v>126</v>
      </c>
      <c r="E2" s="2" t="s">
        <v>124</v>
      </c>
      <c r="F2" s="2" t="s">
        <v>123</v>
      </c>
      <c r="G2" s="2" t="s">
        <v>122</v>
      </c>
      <c r="H2"/>
      <c r="I2"/>
      <c r="J2"/>
      <c r="K2"/>
      <c r="L2"/>
    </row>
    <row r="3" spans="1:12" s="2" customFormat="1">
      <c r="A3" s="2" t="s">
        <v>125</v>
      </c>
      <c r="B3" t="s">
        <v>123</v>
      </c>
      <c r="C3" s="2" t="s">
        <v>235</v>
      </c>
      <c r="D3" s="2" t="s">
        <v>125</v>
      </c>
      <c r="E3" s="2" t="s">
        <v>124</v>
      </c>
      <c r="F3" s="2" t="s">
        <v>123</v>
      </c>
      <c r="G3" s="2" t="s">
        <v>122</v>
      </c>
      <c r="H3"/>
      <c r="I3"/>
      <c r="J3"/>
      <c r="K3"/>
      <c r="L3"/>
    </row>
    <row r="4" spans="1:12" s="2" customFormat="1">
      <c r="A4" s="2" t="s">
        <v>119</v>
      </c>
      <c r="B4" t="s">
        <v>121</v>
      </c>
      <c r="C4" t="s">
        <v>120</v>
      </c>
      <c r="D4" t="s">
        <v>119</v>
      </c>
      <c r="E4" s="2" t="s">
        <v>118</v>
      </c>
      <c r="F4" s="2" t="s">
        <v>117</v>
      </c>
      <c r="G4" s="2" t="s">
        <v>116</v>
      </c>
      <c r="H4"/>
      <c r="I4"/>
      <c r="J4"/>
      <c r="K4"/>
      <c r="L4"/>
    </row>
    <row r="5" spans="1:12">
      <c r="A5" s="2" t="s">
        <v>128</v>
      </c>
      <c r="B5" t="s">
        <v>129</v>
      </c>
      <c r="C5" t="s">
        <v>239</v>
      </c>
      <c r="D5" t="s">
        <v>128</v>
      </c>
      <c r="E5" t="s">
        <v>130</v>
      </c>
      <c r="F5" t="s">
        <v>130</v>
      </c>
      <c r="G5" t="s">
        <v>131</v>
      </c>
    </row>
    <row r="6" spans="1:12">
      <c r="A6" t="s">
        <v>139</v>
      </c>
      <c r="B6" t="s">
        <v>136</v>
      </c>
      <c r="C6" t="s">
        <v>140</v>
      </c>
      <c r="D6" t="s">
        <v>139</v>
      </c>
      <c r="E6" s="2" t="s">
        <v>139</v>
      </c>
      <c r="F6" s="2" t="s">
        <v>138</v>
      </c>
      <c r="G6" t="s">
        <v>137</v>
      </c>
    </row>
    <row r="7" spans="1:12">
      <c r="A7" t="s">
        <v>134</v>
      </c>
      <c r="B7" t="s">
        <v>136</v>
      </c>
      <c r="C7" t="s">
        <v>135</v>
      </c>
      <c r="D7" t="s">
        <v>134</v>
      </c>
      <c r="E7" s="2" t="s">
        <v>134</v>
      </c>
      <c r="F7" s="2" t="s">
        <v>133</v>
      </c>
      <c r="G7" t="s">
        <v>132</v>
      </c>
    </row>
    <row r="8" spans="1:12">
      <c r="A8" t="s">
        <v>189</v>
      </c>
      <c r="B8" t="s">
        <v>238</v>
      </c>
      <c r="C8" t="s">
        <v>237</v>
      </c>
      <c r="D8" t="s">
        <v>189</v>
      </c>
      <c r="E8" t="s">
        <v>189</v>
      </c>
      <c r="F8" t="s">
        <v>190</v>
      </c>
      <c r="G8" s="2" t="s">
        <v>116</v>
      </c>
    </row>
    <row r="9" spans="1:12">
      <c r="A9" t="s">
        <v>272</v>
      </c>
      <c r="E9" t="s">
        <v>272</v>
      </c>
      <c r="F9" t="s">
        <v>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936B4-B1A4-46D7-993E-F45D36458108}">
  <dimension ref="A1:H15"/>
  <sheetViews>
    <sheetView zoomScaleNormal="100" workbookViewId="0">
      <selection activeCell="C16" sqref="C16"/>
    </sheetView>
  </sheetViews>
  <sheetFormatPr defaultColWidth="8.85546875" defaultRowHeight="15"/>
  <cols>
    <col min="1" max="1" width="23.140625" customWidth="1"/>
    <col min="2" max="2" width="20.85546875" customWidth="1"/>
    <col min="3" max="3" width="25.85546875" customWidth="1"/>
    <col min="4" max="8" width="20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156</v>
      </c>
      <c r="B2" t="s">
        <v>32</v>
      </c>
      <c r="C2" t="str">
        <f t="shared" ref="C2:C14" si="0">_xlfn.CONCAT(D2, " ", B2)</f>
        <v>ACS712ELCTR-05B-T SOIC-8</v>
      </c>
      <c r="D2" t="s">
        <v>157</v>
      </c>
      <c r="E2" t="s">
        <v>158</v>
      </c>
      <c r="F2" t="s">
        <v>34</v>
      </c>
      <c r="G2" t="s">
        <v>159</v>
      </c>
    </row>
    <row r="3" spans="1:8">
      <c r="A3" t="s">
        <v>160</v>
      </c>
      <c r="B3" t="s">
        <v>25</v>
      </c>
      <c r="C3" t="str">
        <f t="shared" si="0"/>
        <v>AD5231BRU10 TSSOP-16</v>
      </c>
      <c r="D3" t="s">
        <v>160</v>
      </c>
      <c r="E3" t="s">
        <v>161</v>
      </c>
      <c r="F3" t="s">
        <v>27</v>
      </c>
      <c r="G3" t="s">
        <v>23</v>
      </c>
    </row>
    <row r="4" spans="1:8">
      <c r="A4" t="s">
        <v>162</v>
      </c>
      <c r="B4" t="s">
        <v>32</v>
      </c>
      <c r="C4" t="str">
        <f t="shared" si="0"/>
        <v>AD8400AR1 SOIC-8</v>
      </c>
      <c r="D4" t="s">
        <v>162</v>
      </c>
      <c r="E4" t="s">
        <v>163</v>
      </c>
      <c r="F4" t="s">
        <v>34</v>
      </c>
      <c r="G4" t="s">
        <v>23</v>
      </c>
    </row>
    <row r="5" spans="1:8">
      <c r="A5" t="s">
        <v>164</v>
      </c>
      <c r="B5" t="s">
        <v>165</v>
      </c>
      <c r="C5" t="str">
        <f t="shared" si="0"/>
        <v>ADuM1400ARW SOIC-16W</v>
      </c>
      <c r="D5" t="s">
        <v>164</v>
      </c>
      <c r="E5" t="s">
        <v>166</v>
      </c>
      <c r="F5" t="s">
        <v>167</v>
      </c>
      <c r="G5" t="s">
        <v>23</v>
      </c>
    </row>
    <row r="6" spans="1:8">
      <c r="A6" t="s">
        <v>168</v>
      </c>
      <c r="B6" t="s">
        <v>165</v>
      </c>
      <c r="C6" t="str">
        <f t="shared" si="0"/>
        <v>ADuM1401ARW SOIC-16W</v>
      </c>
      <c r="D6" t="s">
        <v>168</v>
      </c>
      <c r="E6" t="s">
        <v>169</v>
      </c>
      <c r="F6" t="s">
        <v>167</v>
      </c>
      <c r="G6" t="s">
        <v>23</v>
      </c>
    </row>
    <row r="7" spans="1:8">
      <c r="A7" t="s">
        <v>263</v>
      </c>
      <c r="B7" t="s">
        <v>165</v>
      </c>
      <c r="C7" t="str">
        <f t="shared" si="0"/>
        <v>ADuM1402CRW SOIC-16W</v>
      </c>
      <c r="D7" t="s">
        <v>263</v>
      </c>
      <c r="E7" t="s">
        <v>264</v>
      </c>
      <c r="F7" t="s">
        <v>167</v>
      </c>
      <c r="G7" t="s">
        <v>23</v>
      </c>
    </row>
    <row r="8" spans="1:8">
      <c r="A8" t="s">
        <v>170</v>
      </c>
      <c r="B8" t="s">
        <v>44</v>
      </c>
      <c r="C8" t="str">
        <f t="shared" si="0"/>
        <v>AT42QT1010-TSHR SOT23-6</v>
      </c>
      <c r="D8" t="s">
        <v>170</v>
      </c>
      <c r="E8" t="s">
        <v>171</v>
      </c>
      <c r="F8" t="s">
        <v>44</v>
      </c>
      <c r="G8" t="s">
        <v>172</v>
      </c>
    </row>
    <row r="9" spans="1:8">
      <c r="A9" t="s">
        <v>173</v>
      </c>
      <c r="B9" t="s">
        <v>89</v>
      </c>
      <c r="C9" t="str">
        <f t="shared" si="0"/>
        <v>TPA626-VR-S MSOP-10</v>
      </c>
      <c r="D9" t="s">
        <v>173</v>
      </c>
      <c r="E9" t="s">
        <v>174</v>
      </c>
      <c r="F9" t="s">
        <v>92</v>
      </c>
      <c r="G9" t="s">
        <v>110</v>
      </c>
    </row>
    <row r="10" spans="1:8">
      <c r="A10" t="s">
        <v>175</v>
      </c>
      <c r="B10" t="s">
        <v>176</v>
      </c>
      <c r="C10" t="str">
        <f t="shared" si="0"/>
        <v>74ACT74MTC 14-TSSOP</v>
      </c>
      <c r="D10" t="s">
        <v>175</v>
      </c>
      <c r="E10" t="s">
        <v>175</v>
      </c>
      <c r="F10" t="s">
        <v>176</v>
      </c>
      <c r="G10" t="s">
        <v>28</v>
      </c>
    </row>
    <row r="11" spans="1:8">
      <c r="A11" t="s">
        <v>181</v>
      </c>
      <c r="B11" t="s">
        <v>178</v>
      </c>
      <c r="C11" t="str">
        <f t="shared" si="0"/>
        <v>RS2251XS16 SOIC-16</v>
      </c>
      <c r="D11" t="s">
        <v>181</v>
      </c>
      <c r="E11" t="s">
        <v>181</v>
      </c>
      <c r="F11" t="s">
        <v>180</v>
      </c>
      <c r="G11" t="s">
        <v>67</v>
      </c>
    </row>
    <row r="12" spans="1:8">
      <c r="A12" t="s">
        <v>192</v>
      </c>
      <c r="B12" t="s">
        <v>178</v>
      </c>
      <c r="C12" t="str">
        <f t="shared" si="0"/>
        <v>74HC4052D SOIC-16</v>
      </c>
      <c r="D12" t="s">
        <v>192</v>
      </c>
      <c r="E12" t="s">
        <v>191</v>
      </c>
      <c r="F12" t="s">
        <v>180</v>
      </c>
      <c r="G12" t="s">
        <v>55</v>
      </c>
    </row>
    <row r="13" spans="1:8">
      <c r="A13" t="s">
        <v>199</v>
      </c>
      <c r="B13" t="s">
        <v>32</v>
      </c>
      <c r="C13" t="str">
        <f t="shared" si="0"/>
        <v>1EDB8275F SOIC-8</v>
      </c>
      <c r="D13" t="s">
        <v>199</v>
      </c>
      <c r="E13" t="s">
        <v>200</v>
      </c>
      <c r="F13" t="s">
        <v>34</v>
      </c>
      <c r="G13" t="s">
        <v>201</v>
      </c>
    </row>
    <row r="14" spans="1:8">
      <c r="A14" t="s">
        <v>204</v>
      </c>
      <c r="B14" t="s">
        <v>44</v>
      </c>
      <c r="C14" t="str">
        <f t="shared" si="0"/>
        <v>ADG1201BRJZ-R2 SOT23-6</v>
      </c>
      <c r="D14" t="s">
        <v>204</v>
      </c>
      <c r="E14" t="s">
        <v>203</v>
      </c>
      <c r="F14" t="s">
        <v>44</v>
      </c>
      <c r="G14" t="s">
        <v>23</v>
      </c>
    </row>
    <row r="15" spans="1:8">
      <c r="A15" t="s">
        <v>240</v>
      </c>
      <c r="B15" t="s">
        <v>217</v>
      </c>
      <c r="C15" t="str">
        <f>_xlfn.CONCAT(D15, " ", B15)</f>
        <v>AD5160 SOT23-8</v>
      </c>
      <c r="D15" t="s">
        <v>216</v>
      </c>
      <c r="E15" t="s">
        <v>216</v>
      </c>
      <c r="F15" t="s">
        <v>217</v>
      </c>
      <c r="G15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ADC</vt:lpstr>
      <vt:lpstr>Buffer</vt:lpstr>
      <vt:lpstr>Comparator</vt:lpstr>
      <vt:lpstr>DAC</vt:lpstr>
      <vt:lpstr>GPS</vt:lpstr>
      <vt:lpstr>GSM</vt:lpstr>
      <vt:lpstr>OPAMP</vt:lpstr>
      <vt:lpstr>MUX</vt:lpstr>
      <vt:lpstr>Sensor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garou</dc:creator>
  <cp:lastModifiedBy>10195</cp:lastModifiedBy>
  <dcterms:created xsi:type="dcterms:W3CDTF">2025-04-25T10:51:26Z</dcterms:created>
  <dcterms:modified xsi:type="dcterms:W3CDTF">2026-08-12T07:15:39Z</dcterms:modified>
</cp:coreProperties>
</file>